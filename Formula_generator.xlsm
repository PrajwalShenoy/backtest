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iman\Desktop\"/>
    </mc:Choice>
  </mc:AlternateContent>
  <xr:revisionPtr revIDLastSave="0" documentId="8_{D98BDB79-B628-4D47-80A1-B7C8E5376BF2}" xr6:coauthVersionLast="47" xr6:coauthVersionMax="47" xr10:uidLastSave="{00000000-0000-0000-0000-000000000000}"/>
  <bookViews>
    <workbookView xWindow="-108" yWindow="-108" windowWidth="23256" windowHeight="12456" xr2:uid="{1F578922-83D2-4B61-B18C-B106D61E2339}"/>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J2" i="1" l="1"/>
  <c r="J24" i="1"/>
  <c r="J22" i="1"/>
  <c r="J20" i="1"/>
  <c r="J18" i="1"/>
  <c r="J16" i="1"/>
  <c r="J14" i="1"/>
  <c r="J12" i="1"/>
  <c r="J10" i="1"/>
  <c r="J8" i="1"/>
  <c r="J6" i="1"/>
  <c r="J4" i="1"/>
  <c r="AX1" i="1"/>
  <c r="BA1" i="1"/>
  <c r="AZ1" i="1"/>
  <c r="AY1"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2" i="1"/>
  <c r="C4" i="1"/>
  <c r="C6" i="1" s="1"/>
  <c r="C8" i="1" s="1"/>
  <c r="C10" i="1" s="1"/>
  <c r="C12" i="1" s="1"/>
  <c r="C14" i="1" s="1"/>
  <c r="C16" i="1" s="1"/>
  <c r="C18" i="1" s="1"/>
  <c r="C20" i="1" s="1"/>
  <c r="C22" i="1" s="1"/>
  <c r="C24" i="1" s="1"/>
  <c r="C26" i="1" s="1"/>
  <c r="C28" i="1" s="1"/>
  <c r="C30" i="1" s="1"/>
  <c r="C32" i="1" s="1"/>
  <c r="C34" i="1" s="1"/>
  <c r="C36" i="1" s="1"/>
  <c r="C38" i="1" s="1"/>
  <c r="C40" i="1" s="1"/>
  <c r="C42" i="1" s="1"/>
  <c r="C50" i="1"/>
  <c r="C52" i="1" s="1"/>
  <c r="C54" i="1" s="1"/>
  <c r="C56" i="1" s="1"/>
  <c r="C58" i="1" s="1"/>
  <c r="C60" i="1" s="1"/>
  <c r="C62" i="1" s="1"/>
  <c r="C64" i="1" s="1"/>
  <c r="C66" i="1" s="1"/>
  <c r="C68" i="1" s="1"/>
  <c r="C70" i="1" s="1"/>
  <c r="B50" i="1"/>
  <c r="B70" i="1"/>
  <c r="B68" i="1"/>
  <c r="B66" i="1"/>
  <c r="B64" i="1"/>
  <c r="B62" i="1"/>
  <c r="B60" i="1"/>
  <c r="B58" i="1"/>
  <c r="B56" i="1"/>
  <c r="B54" i="1"/>
  <c r="B52" i="1"/>
  <c r="B4" i="1"/>
  <c r="B6" i="1" s="1"/>
  <c r="B8" i="1" s="1"/>
  <c r="B10" i="1" s="1"/>
  <c r="B12" i="1" s="1"/>
  <c r="B14" i="1" s="1"/>
  <c r="B16" i="1" s="1"/>
  <c r="B18" i="1" s="1"/>
  <c r="B20" i="1" s="1"/>
  <c r="B22" i="1" s="1"/>
  <c r="B24" i="1" s="1"/>
  <c r="B26" i="1" s="1"/>
  <c r="B28" i="1" s="1"/>
  <c r="B30" i="1" s="1"/>
  <c r="B32" i="1" s="1"/>
  <c r="B34" i="1" s="1"/>
  <c r="B36" i="1" s="1"/>
  <c r="B38" i="1" s="1"/>
  <c r="B40" i="1" s="1"/>
  <c r="B42" i="1" s="1"/>
  <c r="B44" i="1" s="1"/>
  <c r="B46" i="1" s="1"/>
  <c r="B48" i="1" s="1"/>
  <c r="A70" i="1"/>
  <c r="J70" i="1" s="1"/>
  <c r="A68" i="1"/>
  <c r="J69" i="1" s="1"/>
  <c r="A66" i="1"/>
  <c r="J66" i="1" s="1"/>
  <c r="A64" i="1"/>
  <c r="J65" i="1" s="1"/>
  <c r="A62" i="1"/>
  <c r="J63" i="1" s="1"/>
  <c r="A60" i="1"/>
  <c r="A58" i="1"/>
  <c r="J58" i="1" s="1"/>
  <c r="A56" i="1"/>
  <c r="A54" i="1"/>
  <c r="J55" i="1" s="1"/>
  <c r="A52" i="1"/>
  <c r="A50" i="1"/>
  <c r="J61" i="1"/>
  <c r="A2" i="1"/>
  <c r="A4" i="1" s="1"/>
  <c r="J52" i="1" l="1"/>
  <c r="J56" i="1"/>
  <c r="J60" i="1"/>
  <c r="J68" i="1"/>
  <c r="J54" i="1"/>
  <c r="J62" i="1"/>
  <c r="J64" i="1"/>
  <c r="J3" i="1"/>
  <c r="C44" i="1"/>
  <c r="C46" i="1" s="1"/>
  <c r="C48" i="1" s="1"/>
  <c r="A6" i="1"/>
  <c r="J5" i="1"/>
  <c r="J67" i="1"/>
  <c r="J59" i="1"/>
  <c r="J57" i="1"/>
  <c r="J53" i="1"/>
  <c r="J51" i="1"/>
  <c r="J7" i="1" l="1"/>
  <c r="A8" i="1"/>
  <c r="J9" i="1" l="1"/>
  <c r="A10" i="1"/>
  <c r="A12" i="1" l="1"/>
  <c r="J11" i="1"/>
  <c r="J13" i="1" l="1"/>
  <c r="A14" i="1"/>
  <c r="A16" i="1" l="1"/>
  <c r="J15" i="1"/>
  <c r="J17" i="1" l="1"/>
  <c r="A18" i="1"/>
  <c r="A20" i="1" l="1"/>
  <c r="J19" i="1"/>
  <c r="J21" i="1" l="1"/>
  <c r="A22" i="1"/>
  <c r="J23" i="1" l="1"/>
  <c r="A24" i="1"/>
  <c r="J25" i="1" l="1"/>
  <c r="A26" i="1"/>
  <c r="A28" i="1" l="1"/>
  <c r="J28" i="1" s="1"/>
  <c r="J27" i="1"/>
  <c r="A30" i="1" l="1"/>
  <c r="J30" i="1" s="1"/>
  <c r="J29" i="1"/>
  <c r="J31" i="1" l="1"/>
  <c r="A32" i="1"/>
  <c r="J32" i="1" s="1"/>
  <c r="A34" i="1" l="1"/>
  <c r="J34" i="1" s="1"/>
  <c r="J33" i="1"/>
  <c r="A36" i="1" l="1"/>
  <c r="J36" i="1" s="1"/>
  <c r="J35" i="1"/>
  <c r="J37" i="1" l="1"/>
  <c r="A38" i="1"/>
  <c r="J38" i="1" s="1"/>
  <c r="J39" i="1" l="1"/>
  <c r="A40" i="1"/>
  <c r="J40" i="1" s="1"/>
  <c r="A42" i="1" l="1"/>
  <c r="J42" i="1" s="1"/>
  <c r="J41" i="1"/>
  <c r="A44" i="1" l="1"/>
  <c r="J44" i="1" s="1"/>
  <c r="J43" i="1"/>
  <c r="A46" i="1" l="1"/>
  <c r="J46" i="1" s="1"/>
  <c r="J45" i="1"/>
  <c r="A48" i="1" l="1"/>
  <c r="J48" i="1" s="1"/>
  <c r="J47" i="1"/>
  <c r="J49" i="1" l="1"/>
  <c r="BB1" i="1"/>
  <c r="BC2" i="1" s="1"/>
  <c r="BD1" i="1"/>
  <c r="AZ2" i="1" l="1"/>
  <c r="BA2" i="1"/>
  <c r="AX2" i="1"/>
  <c r="AY2" i="1"/>
  <c r="BC3" i="1"/>
  <c r="BD2" i="1"/>
  <c r="BC4" i="1" l="1"/>
  <c r="AX3" i="1"/>
  <c r="AY3" i="1"/>
  <c r="AZ3" i="1"/>
  <c r="BA3" i="1"/>
  <c r="BD3" i="1"/>
  <c r="AZ4" i="1" l="1"/>
  <c r="BA4" i="1"/>
  <c r="AX4" i="1"/>
  <c r="AY4" i="1"/>
  <c r="BC5" i="1"/>
  <c r="BD4" i="1"/>
  <c r="AX5" i="1" l="1"/>
  <c r="AY5" i="1"/>
  <c r="AZ5" i="1"/>
  <c r="BA5" i="1"/>
  <c r="BC6" i="1"/>
  <c r="BD5" i="1"/>
  <c r="AZ6" i="1" l="1"/>
  <c r="BA6" i="1"/>
  <c r="AX6" i="1"/>
  <c r="AY6" i="1"/>
  <c r="BC7" i="1"/>
  <c r="BC8" i="1" s="1"/>
  <c r="BD6" i="1"/>
  <c r="AZ8" i="1" l="1"/>
  <c r="BA8" i="1"/>
  <c r="AX8" i="1"/>
  <c r="AY8" i="1"/>
  <c r="AX7" i="1"/>
  <c r="AY7" i="1"/>
  <c r="AZ7" i="1"/>
  <c r="BA7" i="1"/>
  <c r="BC9" i="1"/>
  <c r="BC10" i="1" s="1"/>
  <c r="BD8" i="1"/>
  <c r="BD7" i="1"/>
  <c r="AZ10" i="1" l="1"/>
  <c r="BA10" i="1"/>
  <c r="AX10" i="1"/>
  <c r="AY10" i="1"/>
  <c r="AX9" i="1"/>
  <c r="AY9" i="1"/>
  <c r="AZ9" i="1"/>
  <c r="BA9" i="1"/>
  <c r="BC11" i="1"/>
  <c r="BC12" i="1"/>
  <c r="BD9" i="1"/>
  <c r="BD10" i="1"/>
  <c r="AZ12" i="1" l="1"/>
  <c r="BA12" i="1"/>
  <c r="AX12" i="1"/>
  <c r="AY12" i="1"/>
  <c r="AX11" i="1"/>
  <c r="AY11" i="1"/>
  <c r="AZ11" i="1"/>
  <c r="BA11" i="1"/>
  <c r="BC13" i="1"/>
  <c r="BD12" i="1"/>
  <c r="BD11" i="1"/>
  <c r="AX13" i="1" l="1"/>
  <c r="AY13" i="1"/>
  <c r="AZ13" i="1"/>
  <c r="BA13" i="1"/>
  <c r="BC14" i="1"/>
  <c r="BD13" i="1"/>
  <c r="AZ14" i="1" l="1"/>
  <c r="BA14" i="1"/>
  <c r="AX14" i="1"/>
  <c r="AY14" i="1"/>
  <c r="BC15" i="1"/>
  <c r="BD14" i="1"/>
  <c r="AX15" i="1" l="1"/>
  <c r="AY15" i="1"/>
  <c r="AZ15" i="1"/>
  <c r="BA15" i="1"/>
  <c r="BC16" i="1"/>
  <c r="BD15" i="1"/>
  <c r="AZ16" i="1" l="1"/>
  <c r="BA16" i="1"/>
  <c r="AX16" i="1"/>
  <c r="AY16" i="1"/>
  <c r="BC17" i="1"/>
  <c r="BD16" i="1"/>
  <c r="AX17" i="1" l="1"/>
  <c r="AY17" i="1"/>
  <c r="AZ17" i="1"/>
  <c r="BA17" i="1"/>
  <c r="BC18" i="1"/>
  <c r="BD17" i="1"/>
  <c r="BC19" i="1" l="1"/>
  <c r="AZ18" i="1"/>
  <c r="BA18" i="1"/>
  <c r="AX18" i="1"/>
  <c r="AY18" i="1"/>
  <c r="BC20" i="1"/>
  <c r="BD18" i="1"/>
  <c r="AZ20" i="1" l="1"/>
  <c r="BA20" i="1"/>
  <c r="AX20" i="1"/>
  <c r="AY20" i="1"/>
  <c r="AX19" i="1"/>
  <c r="AY19" i="1"/>
  <c r="AZ19" i="1"/>
  <c r="BA19" i="1"/>
  <c r="BC21" i="1"/>
  <c r="BD20" i="1"/>
  <c r="BD19" i="1"/>
  <c r="AX21" i="1" l="1"/>
  <c r="AY21" i="1"/>
  <c r="AZ21" i="1"/>
  <c r="BA21" i="1"/>
  <c r="BC22" i="1"/>
  <c r="BD21" i="1"/>
  <c r="AZ22" i="1" l="1"/>
  <c r="BA22" i="1"/>
  <c r="AX22" i="1"/>
  <c r="AY22" i="1"/>
  <c r="BC23" i="1"/>
  <c r="BD22" i="1"/>
  <c r="AX23" i="1" l="1"/>
  <c r="AY23" i="1"/>
  <c r="AZ23" i="1"/>
  <c r="BA23" i="1"/>
  <c r="BC24" i="1"/>
  <c r="BD23" i="1"/>
  <c r="AZ24" i="1" l="1"/>
  <c r="BA24" i="1"/>
  <c r="AX24" i="1"/>
  <c r="AY24" i="1"/>
  <c r="BC25" i="1"/>
  <c r="BD24" i="1"/>
  <c r="BD25" i="1" l="1"/>
  <c r="AX25" i="1"/>
  <c r="AY25" i="1"/>
  <c r="AZ25" i="1"/>
  <c r="BA25" i="1"/>
  <c r="BC26" i="1"/>
  <c r="AZ26" i="1" l="1"/>
  <c r="BA26" i="1"/>
  <c r="BD26" i="1"/>
  <c r="AX26" i="1"/>
  <c r="AY26" i="1"/>
  <c r="BC27" i="1"/>
  <c r="AX27" i="1" l="1"/>
  <c r="BD27" i="1"/>
  <c r="AY27" i="1"/>
  <c r="AZ27" i="1"/>
  <c r="BA27" i="1"/>
  <c r="BC28" i="1"/>
  <c r="AZ28" i="1" l="1"/>
  <c r="BA28" i="1"/>
  <c r="BD28" i="1"/>
  <c r="BE1" i="1" s="1"/>
  <c r="AX28" i="1"/>
  <c r="AY28" i="1"/>
  <c r="J50" i="1" l="1"/>
  <c r="J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himanshu shekhar</author>
  </authors>
  <commentList>
    <comment ref="H1" authorId="0" shapeId="0" xr:uid="{1116E2EE-A5C7-4C83-AD5B-1CB0A4745A3C}">
      <text>
        <r>
          <rPr>
            <b/>
            <sz val="9"/>
            <color indexed="81"/>
            <rFont val="Tahoma"/>
            <family val="2"/>
          </rPr>
          <t>himanshu shekhar:</t>
        </r>
        <r>
          <rPr>
            <sz val="9"/>
            <color indexed="81"/>
            <rFont val="Tahoma"/>
            <family val="2"/>
          </rPr>
          <t xml:space="preserve">
0-Monday, 1-Tuesday and so on</t>
        </r>
      </text>
    </comment>
  </commentList>
</comments>
</file>

<file path=xl/sharedStrings.xml><?xml version="1.0" encoding="utf-8"?>
<sst xmlns="http://schemas.openxmlformats.org/spreadsheetml/2006/main" count="47" uniqueCount="17">
  <si>
    <t>Start date</t>
  </si>
  <si>
    <t>End date</t>
  </si>
  <si>
    <t>Index</t>
  </si>
  <si>
    <t>Entry Time</t>
  </si>
  <si>
    <t>Exit Time</t>
  </si>
  <si>
    <t>SL</t>
  </si>
  <si>
    <t>BANKNIFTY</t>
  </si>
  <si>
    <t>Days to run</t>
  </si>
  <si>
    <t>Lots</t>
  </si>
  <si>
    <t>0,1,4</t>
  </si>
  <si>
    <t>"trade4 = setTimeStraddleIndexSL(index="&amp;char(34)&amp;d2&amp;char(34)&amp;", start_date=”&amp;char(34)&amp;text(B2,"YYYY-mm-DD")&amp;char(34)&amp;”, end_date=”&amp;char(34)&amp;text(C2,"YYYY-mm-DD")&amp;char(34)&amp;”, entry_time=”&amp;char(34)&amp;e2&amp;char(34)&amp;”, exit_time=”&amp;char(34)&amp;f2&amp;char(34)&amp;”, stop_loss_p="&amp;g2&amp;", historical_data_path=”&amp;char(34)&amp;”./bn_historical_data/”&amp;char(34)&amp;”, number_of_lots="&amp;i2&amp;", csv_out_file=”&amp;char(34)&amp;”trade"&amp;a2&amp;"_report.csv”&amp;char(34)&amp;”, days_to_run=["&amp;h2&amp;"])"</t>
  </si>
  <si>
    <t>0,1,2,4</t>
  </si>
  <si>
    <t>0,1,2</t>
  </si>
  <si>
    <t>NIFTY</t>
  </si>
  <si>
    <t>Copy till last cell and paste in python code</t>
  </si>
  <si>
    <t>Strategy Name</t>
  </si>
  <si>
    <t>NBN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</si>
</sst>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sz val="8"/>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14" fontId="0" fillId="0" borderId="0" xfId="0" applyNumberFormat="1"/>
    <xf numFmtId="0" fontId="0" fillId="0" borderId="0" xfId="0" applyAlignment="1">
      <alignment vertical="center"/>
    </xf>
    <xf numFmtId="0" fontId="0" fillId="0" borderId="0" xfId="0" applyAlignment="1"/>
    <xf numFmtId="10" fontId="0" fillId="0" borderId="0" xfId="1" applyNumberFormat="1" applyFont="1"/>
    <xf numFmtId="0" fontId="0" fillId="0" borderId="0" xfId="0" applyAlignment="1">
      <alignment horizontal="right"/>
    </xf>
    <xf numFmtId="0" fontId="0" fillId="0" borderId="1" xfId="0" applyBorder="1"/>
    <xf numFmtId="0" fontId="0" fillId="0" borderId="2" xfId="0" applyBorder="1"/>
    <xf numFmtId="14" fontId="0" fillId="0" borderId="0" xfId="0" applyNumberFormat="1" applyProtection="1">
      <protection locked="0"/>
    </xf>
    <xf numFmtId="20" fontId="0" fillId="0" borderId="0" xfId="0" applyNumberFormat="1" applyProtection="1">
      <protection locked="0"/>
    </xf>
    <xf numFmtId="10" fontId="0" fillId="0" borderId="0" xfId="1" applyNumberFormat="1" applyFont="1" applyProtection="1">
      <protection locked="0"/>
    </xf>
    <xf numFmtId="0" fontId="0" fillId="0" borderId="0" xfId="0" applyAlignment="1" applyProtection="1">
      <alignment horizontal="right"/>
      <protection locked="0"/>
    </xf>
    <xf numFmtId="0" fontId="0" fillId="0" borderId="0" xfId="0" applyProtection="1">
      <protection locked="0"/>
    </xf>
    <xf numFmtId="0" fontId="0" fillId="0" borderId="0" xfId="0" applyAlignment="1" applyProtection="1">
      <protection locked="0"/>
    </xf>
    <xf numFmtId="10" fontId="0" fillId="0" borderId="0" xfId="1" applyNumberFormat="1" applyFont="1" applyAlignment="1" applyProtection="1">
      <protection locked="0"/>
    </xf>
    <xf numFmtId="0" fontId="0" fillId="0" borderId="3" xfId="0" applyBorder="1" applyAlignment="1">
      <alignment horizontal="center"/>
    </xf>
    <xf numFmtId="0" fontId="0" fillId="0" borderId="0" xfId="0"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11</xdr:col>
      <xdr:colOff>190500</xdr:colOff>
      <xdr:row>2</xdr:row>
      <xdr:rowOff>68580</xdr:rowOff>
    </xdr:from>
    <xdr:to>
      <xdr:col>13</xdr:col>
      <xdr:colOff>495300</xdr:colOff>
      <xdr:row>4</xdr:row>
      <xdr:rowOff>114300</xdr:rowOff>
    </xdr:to>
    <xdr:sp macro="[0]!Clear_All" textlink="">
      <xdr:nvSpPr>
        <xdr:cNvPr id="3" name="Rectangle: Beveled 2">
          <a:extLst>
            <a:ext uri="{FF2B5EF4-FFF2-40B4-BE49-F238E27FC236}">
              <a16:creationId xmlns:a16="http://schemas.microsoft.com/office/drawing/2014/main" id="{988EFBB8-FEC6-6E56-9410-231EB8E7D38E}"/>
            </a:ext>
          </a:extLst>
        </xdr:cNvPr>
        <xdr:cNvSpPr/>
      </xdr:nvSpPr>
      <xdr:spPr>
        <a:xfrm>
          <a:off x="9060180" y="434340"/>
          <a:ext cx="1524000" cy="41148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a:t>Reset All</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20B0A-51F8-4287-A7DF-2EBD6346C25F}">
  <sheetPr codeName="Sheet1"/>
  <dimension ref="A1:BE77"/>
  <sheetViews>
    <sheetView tabSelected="1" workbookViewId="0">
      <selection activeCell="H25" sqref="H25"/>
    </sheetView>
  </sheetViews>
  <sheetFormatPr defaultRowHeight="14.4" x14ac:dyDescent="0.3"/>
  <cols>
    <col min="2" max="4" width="10.33203125" bestFit="1" customWidth="1"/>
    <col min="7" max="7" width="8.88671875" style="4"/>
    <col min="8" max="8" width="10.21875" style="5" bestFit="1" customWidth="1"/>
    <col min="10" max="10" width="34.77734375" customWidth="1"/>
    <col min="16" max="16" width="0" hidden="1" customWidth="1"/>
    <col min="50" max="55" width="8.88671875" customWidth="1"/>
    <col min="56" max="56" width="36.21875" customWidth="1"/>
    <col min="57" max="57" width="8.88671875" customWidth="1"/>
  </cols>
  <sheetData>
    <row r="1" spans="1:57" x14ac:dyDescent="0.3">
      <c r="A1" t="s">
        <v>2</v>
      </c>
      <c r="B1" t="s">
        <v>0</v>
      </c>
      <c r="C1" t="s">
        <v>1</v>
      </c>
      <c r="D1" t="s">
        <v>2</v>
      </c>
      <c r="E1" t="s">
        <v>3</v>
      </c>
      <c r="F1" t="s">
        <v>4</v>
      </c>
      <c r="G1" t="s">
        <v>5</v>
      </c>
      <c r="H1" s="5" t="s">
        <v>7</v>
      </c>
      <c r="I1" t="s">
        <v>8</v>
      </c>
      <c r="J1" s="6" t="s">
        <v>14</v>
      </c>
      <c r="K1" s="15"/>
      <c r="AX1" t="str">
        <f>"D"&amp;BC1*2</f>
        <v>D2</v>
      </c>
      <c r="AY1" t="str">
        <f>"E"&amp;BC1*2</f>
        <v>E2</v>
      </c>
      <c r="AZ1" t="str">
        <f>"P"&amp;BC1*2</f>
        <v>P2</v>
      </c>
      <c r="BA1" t="str">
        <f>"G"&amp;BC1*2</f>
        <v>G2</v>
      </c>
      <c r="BB1">
        <f>MAX(A:A)</f>
        <v>24</v>
      </c>
      <c r="BC1">
        <v>1</v>
      </c>
      <c r="BD1" s="2" t="str">
        <f ca="1">IF(BC1&gt;0,CHAR(34)&amp;$L$8&amp;"_"&amp;INDIRECT(AX1)&amp;"_"&amp;TEXT(INDIRECT(AY1),"HH.MM")&amp;"_"&amp;INDIRECT(AZ1)&amp;"_"&amp;ROUND(INDIRECT(BA1)*100,2)&amp;"%.csv"&amp;CHAR(34)&amp;IF(BC2=0,"",","),"")</f>
        <v>"NBN_BANKNIFTY_09.20_Mon_0.9%.csv",</v>
      </c>
      <c r="BE1" t="str">
        <f ca="1">"consolidate_reports(csv_file_names=["&amp;BD1&amp;BD2&amp;BD3&amp;BD4&amp;BD5&amp;BD6&amp;BD7&amp;BD8&amp;BD9&amp;BD10&amp;BD11&amp;BD12&amp;BD13&amp;BD14&amp;BD15&amp;BD16&amp;BD17&amp;BD18&amp;BD19&amp;BD20&amp;BD21&amp;BD22&amp;BD23&amp;BD24&amp;BD25&amp;BD26&amp;BD27&amp;BD28&amp;"], consolidated_report="&amp;CHAR(34)&amp;"consolidated.csv"&amp;CHAR(34)&amp;")"</f>
        <v>consolidate_reports(csv_file_names=["NBN_BANKNIFTY_09.20_Mon_0.9%.csv","NBN_BANKNIFTY_09.20_Wed_0.7%.csv","NBN_BANKNIFTY_09.20_Thu_0.7%.csv","NBN_BANKNIFTY_09.30_Mon_0.9%.csv","NBN_BANKNIFTY_09.30_Wed_0.7%.csv","NBN_BANKNIFTY_09.30_Thu_0.7%.csv","NBN_BANKNIFTY_11.00_Mon_0.2%.csv","NBN_BANKNIFTY_11.00_Thu_0.2%.csv","NBN_BANKNIFTY_14.15_Mon_0.5%.csv","NBN_BANKNIFTY_14.15_Thu_0.5%.csv","NBN_BANKNIFTY_15.00_Mon_0.2%.csv","NBN_BANKNIFTY_15.00_Thu_0.2%.csv","NBN_NIFTY_09.30_Mon_0.5%.csv","NBN_NIFTY_09.30_Wed_0.4%.csv","NBN_NIFTY_09.30_Thu_0.4%.csv","NBN_NIFTY_12.30_Mon_0.5%.csv","NBN_NIFTY_12.30_Wed_0.4%.csv","NBN_NIFTY_12.30_Thu_0.4%.csv","NBN_NIFTY_11.00_Mon_0.1%.csv","NBN_NIFTY_11.00_Thu_0.1%.csv","NBN_NIFTY_14.15_Mon_0.3%.csv","NBN_NIFTY_14.15_Thu_0.2%.csv","NBN_NIFTY_15.00_Mon_0.1%.csv","NBN_NIFTY_15.00_Thu_0.1%.csv"], consolidated_report="consolidated.csv")</v>
      </c>
    </row>
    <row r="2" spans="1:57" x14ac:dyDescent="0.3">
      <c r="A2">
        <f>IF(ISNUMBER(G2),1,"")</f>
        <v>1</v>
      </c>
      <c r="B2" s="8">
        <v>43525</v>
      </c>
      <c r="C2" s="8">
        <v>44742</v>
      </c>
      <c r="D2" s="12" t="s">
        <v>6</v>
      </c>
      <c r="E2" s="9">
        <v>0.3888888888888889</v>
      </c>
      <c r="F2" s="9">
        <v>0.64166666666666672</v>
      </c>
      <c r="G2" s="10">
        <v>8.9999999999999993E-3</v>
      </c>
      <c r="H2" s="11" t="s">
        <v>9</v>
      </c>
      <c r="I2" s="12">
        <v>1</v>
      </c>
      <c r="J2" s="7" t="str">
        <f>IF(ISNUMBER(A2),"trade"&amp;A2&amp;" = setTimeStraddleIndexSL(index="&amp;CHAR(34)&amp;D2&amp;CHAR(34)&amp;", start_date="&amp;CHAR(34)&amp;TEXT(B2,"YYYY-mm-DD")&amp;CHAR(34)&amp;", end_date="&amp;CHAR(34)&amp;TEXT(C2,"YYYY-mm-DD")&amp;CHAR(34)&amp;", entry_time="&amp;CHAR(34)&amp;TEXT(E2,"HH:MM:SS")&amp;CHAR(34)&amp;", exit_time="&amp;CHAR(34)&amp;TEXT(F2,"HH:MM:SS")&amp;CHAR(34)&amp;", stop_loss_p="&amp;G2&amp;", historical_data_path="&amp;CHAR(34)&amp;"./"&amp;IF(D2="BANKNIFTY","b","")&amp;"n_historical_data/"&amp;CHAR(34)&amp;", number_of_lots="&amp;I2&amp;", csv_out_file="&amp;CHAR(34)&amp;$L$8&amp;"_"&amp;D2&amp;"_"&amp;TEXT(E2,"HH.MM")&amp;"_"&amp;P2&amp;"_"&amp;ROUND(G2*100,2)&amp;"%.csv"&amp;CHAR(34)&amp;", days_to_run=["&amp;H2&amp;"])","")</f>
        <v>trade1 = setTimeStraddleIndexSL(index="BANKNIFTY", start_date="2019-03-01", end_date="2022-06-30", entry_time="09:20:00", exit_time="15:24:00", stop_loss_p=0.009, historical_data_path="./bn_historical_data/", number_of_lots=1, csv_out_file="NBN_BANKNIFTY_09.20_Mon_0.9%.csv", days_to_run=[0,1,4])</v>
      </c>
      <c r="K2" s="15"/>
      <c r="P2" t="str">
        <f>IFERROR(TEXT(LEFT(SUBSTITUTE(H2,",",""),1)+2,"DDD"),"")</f>
        <v>Mon</v>
      </c>
      <c r="AX2" t="str">
        <f t="shared" ref="AX2:AX28" si="0">"D"&amp;BC2*2</f>
        <v>D4</v>
      </c>
      <c r="AY2" t="str">
        <f t="shared" ref="AY2:AY28" si="1">"E"&amp;BC2*2</f>
        <v>E4</v>
      </c>
      <c r="AZ2" t="str">
        <f t="shared" ref="AZ2:AZ28" si="2">"P"&amp;BC2*2</f>
        <v>P4</v>
      </c>
      <c r="BA2" t="str">
        <f t="shared" ref="BA2:BA28" si="3">"G"&amp;BC2*2</f>
        <v>G4</v>
      </c>
      <c r="BC2">
        <f>IF(MAX($BC$1:BC1)+1&lt;=$BB$1,BC1+1,0)</f>
        <v>2</v>
      </c>
      <c r="BD2" s="2" t="str">
        <f t="shared" ref="BD2:BD28" ca="1" si="4">IF(BC2&gt;0,CHAR(34)&amp;$L$8&amp;"_"&amp;INDIRECT(AX2)&amp;"_"&amp;TEXT(INDIRECT(AY2),"HH.MM")&amp;"_"&amp;INDIRECT(AZ2)&amp;"_"&amp;ROUND(INDIRECT(BA2)*100,2)&amp;"%.csv"&amp;CHAR(34)&amp;IF(BC3=0,"",","),"")</f>
        <v>"NBN_BANKNIFTY_09.20_Wed_0.7%.csv",</v>
      </c>
    </row>
    <row r="3" spans="1:57" x14ac:dyDescent="0.3">
      <c r="A3" s="3"/>
      <c r="B3" s="3"/>
      <c r="C3" s="3"/>
      <c r="D3" s="13"/>
      <c r="E3" s="13"/>
      <c r="F3" s="13"/>
      <c r="G3" s="14"/>
      <c r="H3" s="11"/>
      <c r="I3" s="13"/>
      <c r="J3" s="7" t="str">
        <f>IF(ISNUMBER(A2),"trade"&amp;A2&amp;".runBackTest()","")</f>
        <v>trade1.runBackTest()</v>
      </c>
      <c r="K3" s="15"/>
      <c r="P3" t="str">
        <f t="shared" ref="P3:P66" si="5">IFERROR(TEXT(LEFT(SUBSTITUTE(H3,",",""),1)+2,"DDD"),"")</f>
        <v/>
      </c>
      <c r="AX3" t="str">
        <f t="shared" si="0"/>
        <v>D6</v>
      </c>
      <c r="AY3" t="str">
        <f t="shared" si="1"/>
        <v>E6</v>
      </c>
      <c r="AZ3" t="str">
        <f t="shared" si="2"/>
        <v>P6</v>
      </c>
      <c r="BA3" t="str">
        <f t="shared" si="3"/>
        <v>G6</v>
      </c>
      <c r="BC3">
        <f>IF(MAX($BC$1:BC2)+1&lt;=$BB$1,BC2+1,0)</f>
        <v>3</v>
      </c>
      <c r="BD3" s="2" t="str">
        <f t="shared" ca="1" si="4"/>
        <v>"NBN_BANKNIFTY_09.20_Thu_0.7%.csv",</v>
      </c>
    </row>
    <row r="4" spans="1:57" x14ac:dyDescent="0.3">
      <c r="A4">
        <f>IF(ISNUMBER(G4),A2+1,"")</f>
        <v>2</v>
      </c>
      <c r="B4" s="1">
        <f>IF(ISNUMBER(G4),B2,"")</f>
        <v>43525</v>
      </c>
      <c r="C4" s="1">
        <f>IF(ISNUMBER(G4),C2,"")</f>
        <v>44742</v>
      </c>
      <c r="D4" s="12" t="s">
        <v>6</v>
      </c>
      <c r="E4" s="9">
        <v>0.3888888888888889</v>
      </c>
      <c r="F4" s="9">
        <v>0.64166666666666672</v>
      </c>
      <c r="G4" s="10">
        <v>7.0000000000000001E-3</v>
      </c>
      <c r="H4" s="11">
        <v>2</v>
      </c>
      <c r="I4" s="12">
        <v>1</v>
      </c>
      <c r="J4" s="7" t="str">
        <f>IF(AND(ISNUMBER(A4),ISNUMBER(A2)),IF(ISNUMBER(A4),"trade"&amp;A4&amp;" = setTimeStraddleIndexSL(index="&amp;CHAR(34)&amp;D4&amp;CHAR(34)&amp;", start_date="&amp;CHAR(34)&amp;TEXT(B4,"YYYY-mm-DD")&amp;CHAR(34)&amp;", end_date="&amp;CHAR(34)&amp;TEXT(C4,"YYYY-mm-DD")&amp;CHAR(34)&amp;", entry_time="&amp;CHAR(34)&amp;TEXT(E4,"HH:MM:SS")&amp;CHAR(34)&amp;", exit_time="&amp;CHAR(34)&amp;TEXT(F4,"HH:MM:SS")&amp;CHAR(34)&amp;", stop_loss_p="&amp;G4&amp;", historical_data_path="&amp;CHAR(34)&amp;"./"&amp;IF(D4="BANKNIFTY","b","")&amp;"n_historical_data/"&amp;CHAR(34)&amp;", number_of_lots="&amp;I4&amp;", csv_out_file="&amp;CHAR(34)&amp;$L$8&amp;"_"&amp;D4&amp;"_"&amp;TEXT(E4,"HH.MM")&amp;"_"&amp;P4&amp;"_"&amp;ROUND(G4*100,2)&amp;"%.csv"&amp;CHAR(34)&amp;", days_to_run=["&amp;H4&amp;"])",""),IF(ISNUMBER(A2),$BE$1,""))</f>
        <v>trade2 = setTimeStraddleIndexSL(index="BANKNIFTY", start_date="2019-03-01", end_date="2022-06-30", entry_time="09:20:00", exit_time="15:24:00", stop_loss_p=0.007, historical_data_path="./bn_historical_data/", number_of_lots=1, csv_out_file="NBN_BANKNIFTY_09.20_Wed_0.7%.csv", days_to_run=[2])</v>
      </c>
      <c r="K4" s="15"/>
      <c r="P4" t="str">
        <f t="shared" si="5"/>
        <v>Wed</v>
      </c>
      <c r="AX4" t="str">
        <f t="shared" si="0"/>
        <v>D8</v>
      </c>
      <c r="AY4" t="str">
        <f t="shared" si="1"/>
        <v>E8</v>
      </c>
      <c r="AZ4" t="str">
        <f t="shared" si="2"/>
        <v>P8</v>
      </c>
      <c r="BA4" t="str">
        <f t="shared" si="3"/>
        <v>G8</v>
      </c>
      <c r="BC4">
        <f>IF(MAX($BC$1:BC3)+1&lt;=$BB$1,BC3+1,0)</f>
        <v>4</v>
      </c>
      <c r="BD4" s="2" t="str">
        <f t="shared" ca="1" si="4"/>
        <v>"NBN_BANKNIFTY_09.30_Mon_0.9%.csv",</v>
      </c>
    </row>
    <row r="5" spans="1:57" x14ac:dyDescent="0.3">
      <c r="A5" s="3"/>
      <c r="B5" s="3"/>
      <c r="D5" s="13"/>
      <c r="E5" s="13"/>
      <c r="F5" s="13"/>
      <c r="G5" s="14"/>
      <c r="H5" s="11"/>
      <c r="I5" s="13"/>
      <c r="J5" s="7" t="str">
        <f>IF(ISNUMBER(A4),"trade"&amp;A4&amp;".runBackTest()","")</f>
        <v>trade2.runBackTest()</v>
      </c>
      <c r="K5" s="15"/>
      <c r="P5" t="str">
        <f t="shared" si="5"/>
        <v/>
      </c>
      <c r="AX5" t="str">
        <f t="shared" si="0"/>
        <v>D10</v>
      </c>
      <c r="AY5" t="str">
        <f t="shared" si="1"/>
        <v>E10</v>
      </c>
      <c r="AZ5" t="str">
        <f t="shared" si="2"/>
        <v>P10</v>
      </c>
      <c r="BA5" t="str">
        <f t="shared" si="3"/>
        <v>G10</v>
      </c>
      <c r="BC5">
        <f>IF(MAX($BC$1:BC4)+1&lt;=$BB$1,BC4+1,0)</f>
        <v>5</v>
      </c>
      <c r="BD5" s="2" t="str">
        <f t="shared" ca="1" si="4"/>
        <v>"NBN_BANKNIFTY_09.30_Wed_0.7%.csv",</v>
      </c>
    </row>
    <row r="6" spans="1:57" x14ac:dyDescent="0.3">
      <c r="A6">
        <f>IF(ISNUMBER(G6),A4+1,"")</f>
        <v>3</v>
      </c>
      <c r="B6" s="1">
        <f>IF(ISNUMBER(G6),B4,"")</f>
        <v>43525</v>
      </c>
      <c r="C6" s="1">
        <f>IF(ISNUMBER(G6),C4,"")</f>
        <v>44742</v>
      </c>
      <c r="D6" s="12" t="s">
        <v>6</v>
      </c>
      <c r="E6" s="9">
        <v>0.3888888888888889</v>
      </c>
      <c r="F6" s="9">
        <v>0.64166666666666672</v>
      </c>
      <c r="G6" s="10">
        <v>7.0000000000000001E-3</v>
      </c>
      <c r="H6" s="11">
        <v>3</v>
      </c>
      <c r="I6" s="12">
        <v>2</v>
      </c>
      <c r="J6" s="7" t="str">
        <f>IF(AND(ISNUMBER(A6),ISNUMBER(A4)),IF(ISNUMBER(A6),"trade"&amp;A6&amp;" = setTimeStraddleIndexSL(index="&amp;CHAR(34)&amp;D6&amp;CHAR(34)&amp;", start_date="&amp;CHAR(34)&amp;TEXT(B6,"YYYY-mm-DD")&amp;CHAR(34)&amp;", end_date="&amp;CHAR(34)&amp;TEXT(C6,"YYYY-mm-DD")&amp;CHAR(34)&amp;", entry_time="&amp;CHAR(34)&amp;TEXT(E6,"HH:MM:SS")&amp;CHAR(34)&amp;", exit_time="&amp;CHAR(34)&amp;TEXT(F6,"HH:MM:SS")&amp;CHAR(34)&amp;", stop_loss_p="&amp;G6&amp;", historical_data_path="&amp;CHAR(34)&amp;"./"&amp;IF(D6="BANKNIFTY","b","")&amp;"n_historical_data/"&amp;CHAR(34)&amp;", number_of_lots="&amp;I6&amp;", csv_out_file="&amp;CHAR(34)&amp;$L$8&amp;"_"&amp;D6&amp;"_"&amp;TEXT(E6,"HH.MM")&amp;"_"&amp;P6&amp;"_"&amp;ROUND(G6*100,2)&amp;"%.csv"&amp;CHAR(34)&amp;", days_to_run=["&amp;H6&amp;"])",""),IF(ISNUMBER(A4),$BE$1,""))</f>
        <v>trade3 = setTimeStraddleIndexSL(index="BANKNIFTY", start_date="2019-03-01", end_date="2022-06-30", entry_time="09:20:00", exit_time="15:24:00", stop_loss_p=0.007, historical_data_path="./bn_historical_data/", number_of_lots=2, csv_out_file="NBN_BANKNIFTY_09.20_Thu_0.7%.csv", days_to_run=[3])</v>
      </c>
      <c r="K6" s="15"/>
      <c r="P6" t="str">
        <f t="shared" si="5"/>
        <v>Thu</v>
      </c>
      <c r="AX6" t="str">
        <f t="shared" si="0"/>
        <v>D12</v>
      </c>
      <c r="AY6" t="str">
        <f t="shared" si="1"/>
        <v>E12</v>
      </c>
      <c r="AZ6" t="str">
        <f t="shared" si="2"/>
        <v>P12</v>
      </c>
      <c r="BA6" t="str">
        <f t="shared" si="3"/>
        <v>G12</v>
      </c>
      <c r="BC6">
        <f>IF(MAX($BC$1:BC5)+1&lt;=$BB$1,BC5+1,0)</f>
        <v>6</v>
      </c>
      <c r="BD6" s="2" t="str">
        <f t="shared" ca="1" si="4"/>
        <v>"NBN_BANKNIFTY_09.30_Thu_0.7%.csv",</v>
      </c>
    </row>
    <row r="7" spans="1:57" x14ac:dyDescent="0.3">
      <c r="A7" s="3"/>
      <c r="B7" s="3"/>
      <c r="D7" s="13"/>
      <c r="E7" s="13"/>
      <c r="F7" s="13"/>
      <c r="G7" s="14"/>
      <c r="H7" s="11"/>
      <c r="I7" s="13"/>
      <c r="J7" s="7" t="str">
        <f>IF(ISNUMBER(A6),"trade"&amp;A6&amp;".runBackTest()","")</f>
        <v>trade3.runBackTest()</v>
      </c>
      <c r="K7" s="15"/>
      <c r="L7" s="16" t="s">
        <v>15</v>
      </c>
      <c r="M7" s="16"/>
      <c r="N7" s="16"/>
      <c r="P7" t="str">
        <f t="shared" si="5"/>
        <v/>
      </c>
      <c r="AX7" t="str">
        <f t="shared" si="0"/>
        <v>D14</v>
      </c>
      <c r="AY7" t="str">
        <f t="shared" si="1"/>
        <v>E14</v>
      </c>
      <c r="AZ7" t="str">
        <f t="shared" si="2"/>
        <v>P14</v>
      </c>
      <c r="BA7" t="str">
        <f t="shared" si="3"/>
        <v>G14</v>
      </c>
      <c r="BC7">
        <f>IF(MAX($BC$1:BC6)+1&lt;=$BB$1,BC6+1,0)</f>
        <v>7</v>
      </c>
      <c r="BD7" s="2" t="str">
        <f t="shared" ca="1" si="4"/>
        <v>"NBN_BANKNIFTY_11.00_Mon_0.2%.csv",</v>
      </c>
    </row>
    <row r="8" spans="1:57" x14ac:dyDescent="0.3">
      <c r="A8">
        <f>IF(ISNUMBER(G8),A6+1,"")</f>
        <v>4</v>
      </c>
      <c r="B8" s="1">
        <f>IF(ISNUMBER(G8),B6,"")</f>
        <v>43525</v>
      </c>
      <c r="C8" s="1">
        <f>IF(ISNUMBER(G8),C6,"")</f>
        <v>44742</v>
      </c>
      <c r="D8" s="12" t="s">
        <v>6</v>
      </c>
      <c r="E8" s="9">
        <v>0.39583333333333331</v>
      </c>
      <c r="F8" s="9">
        <v>0.64166666666666672</v>
      </c>
      <c r="G8" s="10">
        <v>8.9999999999999993E-3</v>
      </c>
      <c r="H8" s="11" t="s">
        <v>9</v>
      </c>
      <c r="I8" s="12">
        <v>1</v>
      </c>
      <c r="J8" s="7" t="str">
        <f>IF(AND(ISNUMBER(A8),ISNUMBER(A6)),IF(ISNUMBER(A8),"trade"&amp;A8&amp;" = setTimeStraddleIndexSL(index="&amp;CHAR(34)&amp;D8&amp;CHAR(34)&amp;", start_date="&amp;CHAR(34)&amp;TEXT(B8,"YYYY-mm-DD")&amp;CHAR(34)&amp;", end_date="&amp;CHAR(34)&amp;TEXT(C8,"YYYY-mm-DD")&amp;CHAR(34)&amp;", entry_time="&amp;CHAR(34)&amp;TEXT(E8,"HH:MM:SS")&amp;CHAR(34)&amp;", exit_time="&amp;CHAR(34)&amp;TEXT(F8,"HH:MM:SS")&amp;CHAR(34)&amp;", stop_loss_p="&amp;G8&amp;", historical_data_path="&amp;CHAR(34)&amp;"./"&amp;IF(D8="BANKNIFTY","b","")&amp;"n_historical_data/"&amp;CHAR(34)&amp;", number_of_lots="&amp;I8&amp;", csv_out_file="&amp;CHAR(34)&amp;$L$8&amp;"_"&amp;D8&amp;"_"&amp;TEXT(E8,"HH.MM")&amp;"_"&amp;P8&amp;"_"&amp;ROUND(G8*100,2)&amp;"%.csv"&amp;CHAR(34)&amp;", days_to_run=["&amp;H8&amp;"])",""),IF(ISNUMBER(A6),$BE$1,""))</f>
        <v>trade4 = setTimeStraddleIndexSL(index="BANKNIFTY", start_date="2019-03-01", end_date="2022-06-30", entry_time="09:30:00", exit_time="15:24:00", stop_loss_p=0.009, historical_data_path="./bn_historical_data/", number_of_lots=1, csv_out_file="NBN_BANKNIFTY_09.30_Mon_0.9%.csv", days_to_run=[0,1,4])</v>
      </c>
      <c r="K8" s="15"/>
      <c r="L8" s="16" t="s">
        <v>16</v>
      </c>
      <c r="M8" s="16"/>
      <c r="N8" s="16"/>
      <c r="P8" t="str">
        <f t="shared" si="5"/>
        <v>Mon</v>
      </c>
      <c r="AX8" t="str">
        <f t="shared" si="0"/>
        <v>D16</v>
      </c>
      <c r="AY8" t="str">
        <f t="shared" si="1"/>
        <v>E16</v>
      </c>
      <c r="AZ8" t="str">
        <f t="shared" si="2"/>
        <v>P16</v>
      </c>
      <c r="BA8" t="str">
        <f t="shared" si="3"/>
        <v>G16</v>
      </c>
      <c r="BC8">
        <f>IF(MAX($BC$1:BC7)+1&lt;=$BB$1,BC7+1,0)</f>
        <v>8</v>
      </c>
      <c r="BD8" s="2" t="str">
        <f t="shared" ca="1" si="4"/>
        <v>"NBN_BANKNIFTY_11.00_Thu_0.2%.csv",</v>
      </c>
    </row>
    <row r="9" spans="1:57" x14ac:dyDescent="0.3">
      <c r="A9" s="3"/>
      <c r="B9" s="3"/>
      <c r="D9" s="13"/>
      <c r="E9" s="13"/>
      <c r="F9" s="13"/>
      <c r="G9" s="14"/>
      <c r="H9" s="11"/>
      <c r="I9" s="13"/>
      <c r="J9" s="7" t="str">
        <f>IF(ISNUMBER(A8),"trade"&amp;A8&amp;".runBackTest()","")</f>
        <v>trade4.runBackTest()</v>
      </c>
      <c r="K9" s="15"/>
      <c r="P9" t="str">
        <f t="shared" si="5"/>
        <v/>
      </c>
      <c r="AX9" t="str">
        <f t="shared" si="0"/>
        <v>D18</v>
      </c>
      <c r="AY9" t="str">
        <f t="shared" si="1"/>
        <v>E18</v>
      </c>
      <c r="AZ9" t="str">
        <f t="shared" si="2"/>
        <v>P18</v>
      </c>
      <c r="BA9" t="str">
        <f t="shared" si="3"/>
        <v>G18</v>
      </c>
      <c r="BC9">
        <f>IF(MAX($BC$1:BC8)+1&lt;=$BB$1,BC8+1,0)</f>
        <v>9</v>
      </c>
      <c r="BD9" s="2" t="str">
        <f t="shared" ca="1" si="4"/>
        <v>"NBN_BANKNIFTY_14.15_Mon_0.5%.csv",</v>
      </c>
    </row>
    <row r="10" spans="1:57" x14ac:dyDescent="0.3">
      <c r="A10">
        <f>IF(ISNUMBER(G10),A8+1,"")</f>
        <v>5</v>
      </c>
      <c r="B10" s="1">
        <f>IF(ISNUMBER(G10),B8,"")</f>
        <v>43525</v>
      </c>
      <c r="C10" s="1">
        <f>IF(ISNUMBER(G10),C8,"")</f>
        <v>44742</v>
      </c>
      <c r="D10" s="12" t="s">
        <v>6</v>
      </c>
      <c r="E10" s="9">
        <v>0.39583333333333331</v>
      </c>
      <c r="F10" s="9">
        <v>0.64166666666666672</v>
      </c>
      <c r="G10" s="10">
        <v>7.0000000000000001E-3</v>
      </c>
      <c r="H10" s="11">
        <v>2</v>
      </c>
      <c r="I10" s="12">
        <v>1</v>
      </c>
      <c r="J10" s="7" t="str">
        <f>IF(AND(ISNUMBER(A10),ISNUMBER(A8)),IF(ISNUMBER(A10),"trade"&amp;A10&amp;" = setTimeStraddleIndexSL(index="&amp;CHAR(34)&amp;D10&amp;CHAR(34)&amp;", start_date="&amp;CHAR(34)&amp;TEXT(B10,"YYYY-mm-DD")&amp;CHAR(34)&amp;", end_date="&amp;CHAR(34)&amp;TEXT(C10,"YYYY-mm-DD")&amp;CHAR(34)&amp;", entry_time="&amp;CHAR(34)&amp;TEXT(E10,"HH:MM:SS")&amp;CHAR(34)&amp;", exit_time="&amp;CHAR(34)&amp;TEXT(F10,"HH:MM:SS")&amp;CHAR(34)&amp;", stop_loss_p="&amp;G10&amp;", historical_data_path="&amp;CHAR(34)&amp;"./"&amp;IF(D10="BANKNIFTY","b","")&amp;"n_historical_data/"&amp;CHAR(34)&amp;", number_of_lots="&amp;I10&amp;", csv_out_file="&amp;CHAR(34)&amp;$L$8&amp;"_"&amp;D10&amp;"_"&amp;TEXT(E10,"HH.MM")&amp;"_"&amp;P10&amp;"_"&amp;ROUND(G10*100,2)&amp;"%.csv"&amp;CHAR(34)&amp;", days_to_run=["&amp;H10&amp;"])",""),IF(ISNUMBER(A8),$BE$1,""))</f>
        <v>trade5 = setTimeStraddleIndexSL(index="BANKNIFTY", start_date="2019-03-01", end_date="2022-06-30", entry_time="09:30:00", exit_time="15:24:00", stop_loss_p=0.007, historical_data_path="./bn_historical_data/", number_of_lots=1, csv_out_file="NBN_BANKNIFTY_09.30_Wed_0.7%.csv", days_to_run=[2])</v>
      </c>
      <c r="K10" s="15"/>
      <c r="P10" t="str">
        <f t="shared" si="5"/>
        <v>Wed</v>
      </c>
      <c r="AX10" t="str">
        <f t="shared" si="0"/>
        <v>D20</v>
      </c>
      <c r="AY10" t="str">
        <f t="shared" si="1"/>
        <v>E20</v>
      </c>
      <c r="AZ10" t="str">
        <f t="shared" si="2"/>
        <v>P20</v>
      </c>
      <c r="BA10" t="str">
        <f t="shared" si="3"/>
        <v>G20</v>
      </c>
      <c r="BC10">
        <f>IF(MAX($BC$1:BC9)+1&lt;=$BB$1,BC9+1,0)</f>
        <v>10</v>
      </c>
      <c r="BD10" s="2" t="str">
        <f t="shared" ca="1" si="4"/>
        <v>"NBN_BANKNIFTY_14.15_Thu_0.5%.csv",</v>
      </c>
    </row>
    <row r="11" spans="1:57" x14ac:dyDescent="0.3">
      <c r="A11" s="3"/>
      <c r="B11" s="3"/>
      <c r="D11" s="13"/>
      <c r="E11" s="13"/>
      <c r="F11" s="13"/>
      <c r="G11" s="14"/>
      <c r="H11" s="11"/>
      <c r="I11" s="13"/>
      <c r="J11" s="7" t="str">
        <f>IF(ISNUMBER(A10),"trade"&amp;A10&amp;".runBackTest()","")</f>
        <v>trade5.runBackTest()</v>
      </c>
      <c r="K11" s="15"/>
      <c r="P11" t="str">
        <f t="shared" si="5"/>
        <v/>
      </c>
      <c r="AX11" t="str">
        <f t="shared" si="0"/>
        <v>D22</v>
      </c>
      <c r="AY11" t="str">
        <f t="shared" si="1"/>
        <v>E22</v>
      </c>
      <c r="AZ11" t="str">
        <f t="shared" si="2"/>
        <v>P22</v>
      </c>
      <c r="BA11" t="str">
        <f t="shared" si="3"/>
        <v>G22</v>
      </c>
      <c r="BC11">
        <f>IF(MAX($BC$1:BC10)+1&lt;=$BB$1,BC10+1,0)</f>
        <v>11</v>
      </c>
      <c r="BD11" s="2" t="str">
        <f t="shared" ca="1" si="4"/>
        <v>"NBN_BANKNIFTY_15.00_Mon_0.2%.csv",</v>
      </c>
    </row>
    <row r="12" spans="1:57" x14ac:dyDescent="0.3">
      <c r="A12">
        <f>IF(ISNUMBER(G12),A10+1,"")</f>
        <v>6</v>
      </c>
      <c r="B12" s="1">
        <f>IF(ISNUMBER(G12),B10,"")</f>
        <v>43525</v>
      </c>
      <c r="C12" s="1">
        <f>IF(ISNUMBER(G12),C10,"")</f>
        <v>44742</v>
      </c>
      <c r="D12" s="12" t="s">
        <v>6</v>
      </c>
      <c r="E12" s="9">
        <v>0.39583333333333331</v>
      </c>
      <c r="F12" s="9">
        <v>0.64166666666666672</v>
      </c>
      <c r="G12" s="10">
        <v>7.0000000000000001E-3</v>
      </c>
      <c r="H12" s="11">
        <v>3</v>
      </c>
      <c r="I12" s="12">
        <v>2</v>
      </c>
      <c r="J12" s="7" t="str">
        <f>IF(AND(ISNUMBER(A12),ISNUMBER(A10)),IF(ISNUMBER(A12),"trade"&amp;A12&amp;" = setTimeStraddleIndexSL(index="&amp;CHAR(34)&amp;D12&amp;CHAR(34)&amp;", start_date="&amp;CHAR(34)&amp;TEXT(B12,"YYYY-mm-DD")&amp;CHAR(34)&amp;", end_date="&amp;CHAR(34)&amp;TEXT(C12,"YYYY-mm-DD")&amp;CHAR(34)&amp;", entry_time="&amp;CHAR(34)&amp;TEXT(E12,"HH:MM:SS")&amp;CHAR(34)&amp;", exit_time="&amp;CHAR(34)&amp;TEXT(F12,"HH:MM:SS")&amp;CHAR(34)&amp;", stop_loss_p="&amp;G12&amp;", historical_data_path="&amp;CHAR(34)&amp;"./"&amp;IF(D12="BANKNIFTY","b","")&amp;"n_historical_data/"&amp;CHAR(34)&amp;", number_of_lots="&amp;I12&amp;", csv_out_file="&amp;CHAR(34)&amp;$L$8&amp;"_"&amp;D12&amp;"_"&amp;TEXT(E12,"HH.MM")&amp;"_"&amp;P12&amp;"_"&amp;ROUND(G12*100,2)&amp;"%.csv"&amp;CHAR(34)&amp;", days_to_run=["&amp;H12&amp;"])",""),IF(ISNUMBER(A10),$BE$1,""))</f>
        <v>trade6 = setTimeStraddleIndexSL(index="BANKNIFTY", start_date="2019-03-01", end_date="2022-06-30", entry_time="09:30:00", exit_time="15:24:00", stop_loss_p=0.007, historical_data_path="./bn_historical_data/", number_of_lots=2, csv_out_file="NBN_BANKNIFTY_09.30_Thu_0.7%.csv", days_to_run=[3])</v>
      </c>
      <c r="K12" s="15"/>
      <c r="P12" t="str">
        <f t="shared" si="5"/>
        <v>Thu</v>
      </c>
      <c r="AX12" t="str">
        <f t="shared" si="0"/>
        <v>D24</v>
      </c>
      <c r="AY12" t="str">
        <f t="shared" si="1"/>
        <v>E24</v>
      </c>
      <c r="AZ12" t="str">
        <f t="shared" si="2"/>
        <v>P24</v>
      </c>
      <c r="BA12" t="str">
        <f t="shared" si="3"/>
        <v>G24</v>
      </c>
      <c r="BC12">
        <f>IF(MAX($BC$1:BC11)+1&lt;=$BB$1,BC11+1,0)</f>
        <v>12</v>
      </c>
      <c r="BD12" s="2" t="str">
        <f t="shared" ca="1" si="4"/>
        <v>"NBN_BANKNIFTY_15.00_Thu_0.2%.csv",</v>
      </c>
    </row>
    <row r="13" spans="1:57" x14ac:dyDescent="0.3">
      <c r="A13" s="3"/>
      <c r="B13" s="3"/>
      <c r="C13" s="3"/>
      <c r="D13" s="13"/>
      <c r="E13" s="13"/>
      <c r="F13" s="13"/>
      <c r="G13" s="14"/>
      <c r="H13" s="11"/>
      <c r="I13" s="13"/>
      <c r="J13" s="7" t="str">
        <f>IF(ISNUMBER(A12),"trade"&amp;A12&amp;".runBackTest()","")</f>
        <v>trade6.runBackTest()</v>
      </c>
      <c r="K13" s="15"/>
      <c r="P13" t="str">
        <f t="shared" si="5"/>
        <v/>
      </c>
      <c r="AX13" t="str">
        <f t="shared" si="0"/>
        <v>D26</v>
      </c>
      <c r="AY13" t="str">
        <f t="shared" si="1"/>
        <v>E26</v>
      </c>
      <c r="AZ13" t="str">
        <f t="shared" si="2"/>
        <v>P26</v>
      </c>
      <c r="BA13" t="str">
        <f t="shared" si="3"/>
        <v>G26</v>
      </c>
      <c r="BC13">
        <f>IF(MAX($BC$1:BC12)+1&lt;=$BB$1,BC12+1,0)</f>
        <v>13</v>
      </c>
      <c r="BD13" s="2" t="str">
        <f t="shared" ca="1" si="4"/>
        <v>"NBN_NIFTY_09.30_Mon_0.5%.csv",</v>
      </c>
    </row>
    <row r="14" spans="1:57" x14ac:dyDescent="0.3">
      <c r="A14">
        <f>IF(ISNUMBER(G14),A12+1,"")</f>
        <v>7</v>
      </c>
      <c r="B14" s="1">
        <f>IF(ISNUMBER(G14),B12,"")</f>
        <v>43525</v>
      </c>
      <c r="C14" s="1">
        <f>IF(ISNUMBER(G14),C12,"")</f>
        <v>44742</v>
      </c>
      <c r="D14" s="12" t="s">
        <v>6</v>
      </c>
      <c r="E14" s="9">
        <v>0.45833333333333331</v>
      </c>
      <c r="F14" s="9">
        <v>0.62361111111111112</v>
      </c>
      <c r="G14" s="10">
        <v>2E-3</v>
      </c>
      <c r="H14" s="11" t="s">
        <v>11</v>
      </c>
      <c r="I14" s="12">
        <v>1</v>
      </c>
      <c r="J14" s="7" t="str">
        <f>IF(AND(ISNUMBER(A14),ISNUMBER(A12)),IF(ISNUMBER(A14),"trade"&amp;A14&amp;" = setTimeStraddleIndexSL(index="&amp;CHAR(34)&amp;D14&amp;CHAR(34)&amp;", start_date="&amp;CHAR(34)&amp;TEXT(B14,"YYYY-mm-DD")&amp;CHAR(34)&amp;", end_date="&amp;CHAR(34)&amp;TEXT(C14,"YYYY-mm-DD")&amp;CHAR(34)&amp;", entry_time="&amp;CHAR(34)&amp;TEXT(E14,"HH:MM:SS")&amp;CHAR(34)&amp;", exit_time="&amp;CHAR(34)&amp;TEXT(F14,"HH:MM:SS")&amp;CHAR(34)&amp;", stop_loss_p="&amp;G14&amp;", historical_data_path="&amp;CHAR(34)&amp;"./"&amp;IF(D14="BANKNIFTY","b","")&amp;"n_historical_data/"&amp;CHAR(34)&amp;", number_of_lots="&amp;I14&amp;", csv_out_file="&amp;CHAR(34)&amp;$L$8&amp;"_"&amp;D14&amp;"_"&amp;TEXT(E14,"HH.MM")&amp;"_"&amp;P14&amp;"_"&amp;ROUND(G14*100,2)&amp;"%.csv"&amp;CHAR(34)&amp;", days_to_run=["&amp;H14&amp;"])",""),IF(ISNUMBER(A12),$BE$1,""))</f>
        <v>trade7 = setTimeStraddleIndexSL(index="BANKNIFTY", start_date="2019-03-01", end_date="2022-06-30", entry_time="11:00:00", exit_time="14:58:00", stop_loss_p=0.002, historical_data_path="./bn_historical_data/", number_of_lots=1, csv_out_file="NBN_BANKNIFTY_11.00_Mon_0.2%.csv", days_to_run=[0,1,2,4])</v>
      </c>
      <c r="K14" s="15"/>
      <c r="P14" t="str">
        <f t="shared" si="5"/>
        <v>Mon</v>
      </c>
      <c r="AX14" t="str">
        <f t="shared" si="0"/>
        <v>D28</v>
      </c>
      <c r="AY14" t="str">
        <f t="shared" si="1"/>
        <v>E28</v>
      </c>
      <c r="AZ14" t="str">
        <f t="shared" si="2"/>
        <v>P28</v>
      </c>
      <c r="BA14" t="str">
        <f t="shared" si="3"/>
        <v>G28</v>
      </c>
      <c r="BC14">
        <f>IF(MAX($BC$1:BC13)+1&lt;=$BB$1,BC13+1,0)</f>
        <v>14</v>
      </c>
      <c r="BD14" s="2" t="str">
        <f t="shared" ca="1" si="4"/>
        <v>"NBN_NIFTY_09.30_Wed_0.4%.csv",</v>
      </c>
    </row>
    <row r="15" spans="1:57" x14ac:dyDescent="0.3">
      <c r="A15" s="3"/>
      <c r="B15" s="3"/>
      <c r="D15" s="13"/>
      <c r="E15" s="13"/>
      <c r="F15" s="13"/>
      <c r="G15" s="14"/>
      <c r="H15" s="11"/>
      <c r="I15" s="13"/>
      <c r="J15" s="7" t="str">
        <f>IF(ISNUMBER(A14),"trade"&amp;A14&amp;".runBackTest()","")</f>
        <v>trade7.runBackTest()</v>
      </c>
      <c r="K15" s="15"/>
      <c r="P15" t="str">
        <f t="shared" si="5"/>
        <v/>
      </c>
      <c r="AX15" t="str">
        <f t="shared" si="0"/>
        <v>D30</v>
      </c>
      <c r="AY15" t="str">
        <f t="shared" si="1"/>
        <v>E30</v>
      </c>
      <c r="AZ15" t="str">
        <f t="shared" si="2"/>
        <v>P30</v>
      </c>
      <c r="BA15" t="str">
        <f t="shared" si="3"/>
        <v>G30</v>
      </c>
      <c r="BC15">
        <f>IF(MAX($BC$1:BC14)+1&lt;=$BB$1,BC14+1,0)</f>
        <v>15</v>
      </c>
      <c r="BD15" s="2" t="str">
        <f t="shared" ca="1" si="4"/>
        <v>"NBN_NIFTY_09.30_Thu_0.4%.csv",</v>
      </c>
    </row>
    <row r="16" spans="1:57" x14ac:dyDescent="0.3">
      <c r="A16">
        <f>IF(ISNUMBER(G16),A14+1,"")</f>
        <v>8</v>
      </c>
      <c r="B16" s="1">
        <f>IF(ISNUMBER(G16),B14,"")</f>
        <v>43525</v>
      </c>
      <c r="C16" s="1">
        <f>IF(ISNUMBER(G16),C14,"")</f>
        <v>44742</v>
      </c>
      <c r="D16" s="12" t="s">
        <v>6</v>
      </c>
      <c r="E16" s="9">
        <v>0.45833333333333331</v>
      </c>
      <c r="F16" s="9">
        <v>0.62361111111111112</v>
      </c>
      <c r="G16" s="10">
        <v>2E-3</v>
      </c>
      <c r="H16" s="11">
        <v>3</v>
      </c>
      <c r="I16" s="12">
        <v>2</v>
      </c>
      <c r="J16" s="7" t="str">
        <f>IF(AND(ISNUMBER(A16),ISNUMBER(A14)),IF(ISNUMBER(A16),"trade"&amp;A16&amp;" = setTimeStraddleIndexSL(index="&amp;CHAR(34)&amp;D16&amp;CHAR(34)&amp;", start_date="&amp;CHAR(34)&amp;TEXT(B16,"YYYY-mm-DD")&amp;CHAR(34)&amp;", end_date="&amp;CHAR(34)&amp;TEXT(C16,"YYYY-mm-DD")&amp;CHAR(34)&amp;", entry_time="&amp;CHAR(34)&amp;TEXT(E16,"HH:MM:SS")&amp;CHAR(34)&amp;", exit_time="&amp;CHAR(34)&amp;TEXT(F16,"HH:MM:SS")&amp;CHAR(34)&amp;", stop_loss_p="&amp;G16&amp;", historical_data_path="&amp;CHAR(34)&amp;"./"&amp;IF(D16="BANKNIFTY","b","")&amp;"n_historical_data/"&amp;CHAR(34)&amp;", number_of_lots="&amp;I16&amp;", csv_out_file="&amp;CHAR(34)&amp;$L$8&amp;"_"&amp;D16&amp;"_"&amp;TEXT(E16,"HH.MM")&amp;"_"&amp;P16&amp;"_"&amp;ROUND(G16*100,2)&amp;"%.csv"&amp;CHAR(34)&amp;", days_to_run=["&amp;H16&amp;"])",""),IF(ISNUMBER(A14),$BE$1,""))</f>
        <v>trade8 = setTimeStraddleIndexSL(index="BANKNIFTY", start_date="2019-03-01", end_date="2022-06-30", entry_time="11:00:00", exit_time="14:58:00", stop_loss_p=0.002, historical_data_path="./bn_historical_data/", number_of_lots=2, csv_out_file="NBN_BANKNIFTY_11.00_Thu_0.2%.csv", days_to_run=[3])</v>
      </c>
      <c r="K16" s="15"/>
      <c r="P16" t="str">
        <f t="shared" si="5"/>
        <v>Thu</v>
      </c>
      <c r="AX16" t="str">
        <f t="shared" si="0"/>
        <v>D32</v>
      </c>
      <c r="AY16" t="str">
        <f t="shared" si="1"/>
        <v>E32</v>
      </c>
      <c r="AZ16" t="str">
        <f t="shared" si="2"/>
        <v>P32</v>
      </c>
      <c r="BA16" t="str">
        <f t="shared" si="3"/>
        <v>G32</v>
      </c>
      <c r="BC16">
        <f>IF(MAX($BC$1:BC15)+1&lt;=$BB$1,BC15+1,0)</f>
        <v>16</v>
      </c>
      <c r="BD16" s="2" t="str">
        <f t="shared" ca="1" si="4"/>
        <v>"NBN_NIFTY_12.30_Mon_0.5%.csv",</v>
      </c>
    </row>
    <row r="17" spans="1:56" x14ac:dyDescent="0.3">
      <c r="A17" s="3"/>
      <c r="B17" s="3"/>
      <c r="D17" s="13"/>
      <c r="E17" s="13"/>
      <c r="F17" s="13"/>
      <c r="G17" s="14"/>
      <c r="H17" s="11"/>
      <c r="I17" s="13"/>
      <c r="J17" s="7" t="str">
        <f>IF(ISNUMBER(A16),"trade"&amp;A16&amp;".runBackTest()","")</f>
        <v>trade8.runBackTest()</v>
      </c>
      <c r="K17" s="15"/>
      <c r="P17" t="str">
        <f t="shared" si="5"/>
        <v/>
      </c>
      <c r="AX17" t="str">
        <f t="shared" si="0"/>
        <v>D34</v>
      </c>
      <c r="AY17" t="str">
        <f t="shared" si="1"/>
        <v>E34</v>
      </c>
      <c r="AZ17" t="str">
        <f t="shared" si="2"/>
        <v>P34</v>
      </c>
      <c r="BA17" t="str">
        <f t="shared" si="3"/>
        <v>G34</v>
      </c>
      <c r="BC17">
        <f>IF(MAX($BC$1:BC16)+1&lt;=$BB$1,BC16+1,0)</f>
        <v>17</v>
      </c>
      <c r="BD17" s="2" t="str">
        <f t="shared" ca="1" si="4"/>
        <v>"NBN_NIFTY_12.30_Wed_0.4%.csv",</v>
      </c>
    </row>
    <row r="18" spans="1:56" x14ac:dyDescent="0.3">
      <c r="A18">
        <f>IF(ISNUMBER(G18),A16+1,"")</f>
        <v>9</v>
      </c>
      <c r="B18" s="1">
        <f>IF(ISNUMBER(G18),B16,"")</f>
        <v>43525</v>
      </c>
      <c r="C18" s="1">
        <f>IF(ISNUMBER(G18),C16,"")</f>
        <v>44742</v>
      </c>
      <c r="D18" s="12" t="s">
        <v>6</v>
      </c>
      <c r="E18" s="9">
        <v>0.59375</v>
      </c>
      <c r="F18" s="9">
        <v>0.64166666666666672</v>
      </c>
      <c r="G18" s="10">
        <v>5.0000000000000001E-3</v>
      </c>
      <c r="H18" s="11" t="s">
        <v>12</v>
      </c>
      <c r="I18" s="12">
        <v>1</v>
      </c>
      <c r="J18" s="7" t="str">
        <f>IF(AND(ISNUMBER(A18),ISNUMBER(A16)),IF(ISNUMBER(A18),"trade"&amp;A18&amp;" = setTimeStraddleIndexSL(index="&amp;CHAR(34)&amp;D18&amp;CHAR(34)&amp;", start_date="&amp;CHAR(34)&amp;TEXT(B18,"YYYY-mm-DD")&amp;CHAR(34)&amp;", end_date="&amp;CHAR(34)&amp;TEXT(C18,"YYYY-mm-DD")&amp;CHAR(34)&amp;", entry_time="&amp;CHAR(34)&amp;TEXT(E18,"HH:MM:SS")&amp;CHAR(34)&amp;", exit_time="&amp;CHAR(34)&amp;TEXT(F18,"HH:MM:SS")&amp;CHAR(34)&amp;", stop_loss_p="&amp;G18&amp;", historical_data_path="&amp;CHAR(34)&amp;"./"&amp;IF(D18="BANKNIFTY","b","")&amp;"n_historical_data/"&amp;CHAR(34)&amp;", number_of_lots="&amp;I18&amp;", csv_out_file="&amp;CHAR(34)&amp;$L$8&amp;"_"&amp;D18&amp;"_"&amp;TEXT(E18,"HH.MM")&amp;"_"&amp;P18&amp;"_"&amp;ROUND(G18*100,2)&amp;"%.csv"&amp;CHAR(34)&amp;", days_to_run=["&amp;H18&amp;"])",""),IF(ISNUMBER(A16),$BE$1,""))</f>
        <v>trade9 = setTimeStraddleIndexSL(index="BANKNIFTY", start_date="2019-03-01", end_date="2022-06-30", entry_time="14:15:00", exit_time="15:24:00", stop_loss_p=0.005, historical_data_path="./bn_historical_data/", number_of_lots=1, csv_out_file="NBN_BANKNIFTY_14.15_Mon_0.5%.csv", days_to_run=[0,1,2])</v>
      </c>
      <c r="K18" s="15"/>
      <c r="P18" t="str">
        <f t="shared" si="5"/>
        <v>Mon</v>
      </c>
      <c r="AX18" t="str">
        <f t="shared" si="0"/>
        <v>D36</v>
      </c>
      <c r="AY18" t="str">
        <f t="shared" si="1"/>
        <v>E36</v>
      </c>
      <c r="AZ18" t="str">
        <f t="shared" si="2"/>
        <v>P36</v>
      </c>
      <c r="BA18" t="str">
        <f t="shared" si="3"/>
        <v>G36</v>
      </c>
      <c r="BC18">
        <f>IF(MAX($BC$1:BC17)+1&lt;=$BB$1,BC17+1,0)</f>
        <v>18</v>
      </c>
      <c r="BD18" s="2" t="str">
        <f t="shared" ca="1" si="4"/>
        <v>"NBN_NIFTY_12.30_Thu_0.4%.csv",</v>
      </c>
    </row>
    <row r="19" spans="1:56" x14ac:dyDescent="0.3">
      <c r="A19" s="3"/>
      <c r="B19" s="3"/>
      <c r="D19" s="13"/>
      <c r="E19" s="13"/>
      <c r="F19" s="13"/>
      <c r="G19" s="14"/>
      <c r="H19" s="11"/>
      <c r="I19" s="13"/>
      <c r="J19" s="7" t="str">
        <f>IF(ISNUMBER(A18),"trade"&amp;A18&amp;".runBackTest()","")</f>
        <v>trade9.runBackTest()</v>
      </c>
      <c r="K19" s="15"/>
      <c r="P19" t="str">
        <f t="shared" si="5"/>
        <v/>
      </c>
      <c r="AX19" t="str">
        <f t="shared" si="0"/>
        <v>D38</v>
      </c>
      <c r="AY19" t="str">
        <f t="shared" si="1"/>
        <v>E38</v>
      </c>
      <c r="AZ19" t="str">
        <f t="shared" si="2"/>
        <v>P38</v>
      </c>
      <c r="BA19" t="str">
        <f t="shared" si="3"/>
        <v>G38</v>
      </c>
      <c r="BC19">
        <f>IF(MAX($BC$1:BC18)+1&lt;=$BB$1,BC18+1,0)</f>
        <v>19</v>
      </c>
      <c r="BD19" s="2" t="str">
        <f t="shared" ca="1" si="4"/>
        <v>"NBN_NIFTY_11.00_Mon_0.1%.csv",</v>
      </c>
    </row>
    <row r="20" spans="1:56" x14ac:dyDescent="0.3">
      <c r="A20">
        <f>IF(ISNUMBER(G20),A18+1,"")</f>
        <v>10</v>
      </c>
      <c r="B20" s="1">
        <f>IF(ISNUMBER(G20),B18,"")</f>
        <v>43525</v>
      </c>
      <c r="C20" s="1">
        <f>IF(ISNUMBER(G20),C18,"")</f>
        <v>44742</v>
      </c>
      <c r="D20" s="12" t="s">
        <v>6</v>
      </c>
      <c r="E20" s="9">
        <v>0.59375</v>
      </c>
      <c r="F20" s="9">
        <v>0.64166666666666672</v>
      </c>
      <c r="G20" s="10">
        <v>5.0000000000000001E-3</v>
      </c>
      <c r="H20" s="11">
        <v>3</v>
      </c>
      <c r="I20" s="12">
        <v>2</v>
      </c>
      <c r="J20" s="7" t="str">
        <f>IF(AND(ISNUMBER(A20),ISNUMBER(A18)),IF(ISNUMBER(A20),"trade"&amp;A20&amp;" = setTimeStraddleIndexSL(index="&amp;CHAR(34)&amp;D20&amp;CHAR(34)&amp;", start_date="&amp;CHAR(34)&amp;TEXT(B20,"YYYY-mm-DD")&amp;CHAR(34)&amp;", end_date="&amp;CHAR(34)&amp;TEXT(C20,"YYYY-mm-DD")&amp;CHAR(34)&amp;", entry_time="&amp;CHAR(34)&amp;TEXT(E20,"HH:MM:SS")&amp;CHAR(34)&amp;", exit_time="&amp;CHAR(34)&amp;TEXT(F20,"HH:MM:SS")&amp;CHAR(34)&amp;", stop_loss_p="&amp;G20&amp;", historical_data_path="&amp;CHAR(34)&amp;"./"&amp;IF(D20="BANKNIFTY","b","")&amp;"n_historical_data/"&amp;CHAR(34)&amp;", number_of_lots="&amp;I20&amp;", csv_out_file="&amp;CHAR(34)&amp;$L$8&amp;"_"&amp;D20&amp;"_"&amp;TEXT(E20,"HH.MM")&amp;"_"&amp;P20&amp;"_"&amp;ROUND(G20*100,2)&amp;"%.csv"&amp;CHAR(34)&amp;", days_to_run=["&amp;H20&amp;"])",""),IF(ISNUMBER(A18),$BE$1,""))</f>
        <v>trade10 = setTimeStraddleIndexSL(index="BANKNIFTY", start_date="2019-03-01", end_date="2022-06-30", entry_time="14:15:00", exit_time="15:24:00", stop_loss_p=0.005, historical_data_path="./bn_historical_data/", number_of_lots=2, csv_out_file="NBN_BANKNIFTY_14.15_Thu_0.5%.csv", days_to_run=[3])</v>
      </c>
      <c r="K20" s="15"/>
      <c r="P20" t="str">
        <f t="shared" si="5"/>
        <v>Thu</v>
      </c>
      <c r="AX20" t="str">
        <f t="shared" si="0"/>
        <v>D40</v>
      </c>
      <c r="AY20" t="str">
        <f t="shared" si="1"/>
        <v>E40</v>
      </c>
      <c r="AZ20" t="str">
        <f t="shared" si="2"/>
        <v>P40</v>
      </c>
      <c r="BA20" t="str">
        <f t="shared" si="3"/>
        <v>G40</v>
      </c>
      <c r="BC20">
        <f>IF(MAX($BC$1:BC19)+1&lt;=$BB$1,BC19+1,0)</f>
        <v>20</v>
      </c>
      <c r="BD20" s="2" t="str">
        <f t="shared" ca="1" si="4"/>
        <v>"NBN_NIFTY_11.00_Thu_0.1%.csv",</v>
      </c>
    </row>
    <row r="21" spans="1:56" x14ac:dyDescent="0.3">
      <c r="B21" s="3"/>
      <c r="D21" s="12"/>
      <c r="E21" s="12"/>
      <c r="F21" s="12"/>
      <c r="G21" s="10"/>
      <c r="H21" s="11"/>
      <c r="I21" s="12"/>
      <c r="J21" s="7" t="str">
        <f>IF(ISNUMBER(A20),"trade"&amp;A20&amp;".runBackTest()","")</f>
        <v>trade10.runBackTest()</v>
      </c>
      <c r="K21" s="15"/>
      <c r="P21" t="str">
        <f t="shared" si="5"/>
        <v/>
      </c>
      <c r="AX21" t="str">
        <f t="shared" si="0"/>
        <v>D42</v>
      </c>
      <c r="AY21" t="str">
        <f t="shared" si="1"/>
        <v>E42</v>
      </c>
      <c r="AZ21" t="str">
        <f t="shared" si="2"/>
        <v>P42</v>
      </c>
      <c r="BA21" t="str">
        <f t="shared" si="3"/>
        <v>G42</v>
      </c>
      <c r="BC21">
        <f>IF(MAX($BC$1:BC20)+1&lt;=$BB$1,BC20+1,0)</f>
        <v>21</v>
      </c>
      <c r="BD21" s="2" t="str">
        <f t="shared" ca="1" si="4"/>
        <v>"NBN_NIFTY_14.15_Mon_0.3%.csv",</v>
      </c>
    </row>
    <row r="22" spans="1:56" x14ac:dyDescent="0.3">
      <c r="A22">
        <f>IF(ISNUMBER(G22),A20+1,"")</f>
        <v>11</v>
      </c>
      <c r="B22" s="1">
        <f>IF(ISNUMBER(G22),B20,"")</f>
        <v>43525</v>
      </c>
      <c r="C22" s="1">
        <f>IF(ISNUMBER(G22),C20,"")</f>
        <v>44742</v>
      </c>
      <c r="D22" s="12" t="s">
        <v>6</v>
      </c>
      <c r="E22" s="9">
        <v>0.625</v>
      </c>
      <c r="F22" s="9">
        <v>0.64166666666666672</v>
      </c>
      <c r="G22" s="10">
        <v>2E-3</v>
      </c>
      <c r="H22" s="11" t="s">
        <v>12</v>
      </c>
      <c r="I22" s="12">
        <v>2</v>
      </c>
      <c r="J22" s="7" t="str">
        <f>IF(AND(ISNUMBER(A22),ISNUMBER(A20)),IF(ISNUMBER(A22),"trade"&amp;A22&amp;" = setTimeStraddleIndexSL(index="&amp;CHAR(34)&amp;D22&amp;CHAR(34)&amp;", start_date="&amp;CHAR(34)&amp;TEXT(B22,"YYYY-mm-DD")&amp;CHAR(34)&amp;", end_date="&amp;CHAR(34)&amp;TEXT(C22,"YYYY-mm-DD")&amp;CHAR(34)&amp;", entry_time="&amp;CHAR(34)&amp;TEXT(E22,"HH:MM:SS")&amp;CHAR(34)&amp;", exit_time="&amp;CHAR(34)&amp;TEXT(F22,"HH:MM:SS")&amp;CHAR(34)&amp;", stop_loss_p="&amp;G22&amp;", historical_data_path="&amp;CHAR(34)&amp;"./"&amp;IF(D22="BANKNIFTY","b","")&amp;"n_historical_data/"&amp;CHAR(34)&amp;", number_of_lots="&amp;I22&amp;", csv_out_file="&amp;CHAR(34)&amp;$L$8&amp;"_"&amp;D22&amp;"_"&amp;TEXT(E22,"HH.MM")&amp;"_"&amp;P22&amp;"_"&amp;ROUND(G22*100,2)&amp;"%.csv"&amp;CHAR(34)&amp;", days_to_run=["&amp;H22&amp;"])",""),IF(ISNUMBER(A20),$BE$1,""))</f>
        <v>trade11 = setTimeStraddleIndexSL(index="BANKNIFTY", start_date="2019-03-01", end_date="2022-06-30", entry_time="15:00:00", exit_time="15:24:00", stop_loss_p=0.002, historical_data_path="./bn_historical_data/", number_of_lots=2, csv_out_file="NBN_BANKNIFTY_15.00_Mon_0.2%.csv", days_to_run=[0,1,2])</v>
      </c>
      <c r="K22" s="15"/>
      <c r="P22" t="str">
        <f t="shared" si="5"/>
        <v>Mon</v>
      </c>
      <c r="AX22" t="str">
        <f t="shared" si="0"/>
        <v>D44</v>
      </c>
      <c r="AY22" t="str">
        <f t="shared" si="1"/>
        <v>E44</v>
      </c>
      <c r="AZ22" t="str">
        <f t="shared" si="2"/>
        <v>P44</v>
      </c>
      <c r="BA22" t="str">
        <f t="shared" si="3"/>
        <v>G44</v>
      </c>
      <c r="BC22">
        <f>IF(MAX($BC$1:BC21)+1&lt;=$BB$1,BC21+1,0)</f>
        <v>22</v>
      </c>
      <c r="BD22" s="2" t="str">
        <f t="shared" ca="1" si="4"/>
        <v>"NBN_NIFTY_14.15_Thu_0.2%.csv",</v>
      </c>
    </row>
    <row r="23" spans="1:56" x14ac:dyDescent="0.3">
      <c r="B23" s="3"/>
      <c r="D23" s="12"/>
      <c r="E23" s="12"/>
      <c r="F23" s="12"/>
      <c r="G23" s="10"/>
      <c r="H23" s="11"/>
      <c r="I23" s="12"/>
      <c r="J23" s="7" t="str">
        <f>IF(ISNUMBER(A22),"trade"&amp;A22&amp;".runBackTest()","")</f>
        <v>trade11.runBackTest()</v>
      </c>
      <c r="K23" s="15"/>
      <c r="P23" t="str">
        <f t="shared" si="5"/>
        <v/>
      </c>
      <c r="AX23" t="str">
        <f t="shared" si="0"/>
        <v>D46</v>
      </c>
      <c r="AY23" t="str">
        <f t="shared" si="1"/>
        <v>E46</v>
      </c>
      <c r="AZ23" t="str">
        <f t="shared" si="2"/>
        <v>P46</v>
      </c>
      <c r="BA23" t="str">
        <f t="shared" si="3"/>
        <v>G46</v>
      </c>
      <c r="BC23">
        <f>IF(MAX($BC$1:BC22)+1&lt;=$BB$1,BC22+1,0)</f>
        <v>23</v>
      </c>
      <c r="BD23" s="2" t="str">
        <f t="shared" ca="1" si="4"/>
        <v>"NBN_NIFTY_15.00_Mon_0.1%.csv",</v>
      </c>
    </row>
    <row r="24" spans="1:56" x14ac:dyDescent="0.3">
      <c r="A24">
        <f>IF(ISNUMBER(G24),A22+1,"")</f>
        <v>12</v>
      </c>
      <c r="B24" s="1">
        <f>IF(ISNUMBER(G24),B22,"")</f>
        <v>43525</v>
      </c>
      <c r="C24" s="1">
        <f>IF(ISNUMBER(G24),C22,"")</f>
        <v>44742</v>
      </c>
      <c r="D24" s="12" t="s">
        <v>6</v>
      </c>
      <c r="E24" s="9">
        <v>0.625</v>
      </c>
      <c r="F24" s="9">
        <v>0.64166666666666672</v>
      </c>
      <c r="G24" s="10">
        <v>2E-3</v>
      </c>
      <c r="H24" s="11">
        <v>3</v>
      </c>
      <c r="I24" s="12">
        <v>4</v>
      </c>
      <c r="J24" s="7" t="str">
        <f>IF(AND(ISNUMBER(A24),ISNUMBER(A22)),IF(ISNUMBER(A24),"trade"&amp;A24&amp;" = setTimeStraddleIndexSL(index="&amp;CHAR(34)&amp;D24&amp;CHAR(34)&amp;", start_date="&amp;CHAR(34)&amp;TEXT(B24,"YYYY-mm-DD")&amp;CHAR(34)&amp;", end_date="&amp;CHAR(34)&amp;TEXT(C24,"YYYY-mm-DD")&amp;CHAR(34)&amp;", entry_time="&amp;CHAR(34)&amp;TEXT(E24,"HH:MM:SS")&amp;CHAR(34)&amp;", exit_time="&amp;CHAR(34)&amp;TEXT(F24,"HH:MM:SS")&amp;CHAR(34)&amp;", stop_loss_p="&amp;G24&amp;", historical_data_path="&amp;CHAR(34)&amp;"./"&amp;IF(D24="BANKNIFTY","b","")&amp;"n_historical_data/"&amp;CHAR(34)&amp;", number_of_lots="&amp;I24&amp;", csv_out_file="&amp;CHAR(34)&amp;$L$8&amp;"_"&amp;D24&amp;"_"&amp;TEXT(E24,"HH.MM")&amp;"_"&amp;P24&amp;"_"&amp;ROUND(G24*100,2)&amp;"%.csv"&amp;CHAR(34)&amp;", days_to_run=["&amp;H24&amp;"])",""),IF(ISNUMBER(A22),$BE$1,""))</f>
        <v>trade12 = setTimeStraddleIndexSL(index="BANKNIFTY", start_date="2019-03-01", end_date="2022-06-30", entry_time="15:00:00", exit_time="15:24:00", stop_loss_p=0.002, historical_data_path="./bn_historical_data/", number_of_lots=4, csv_out_file="NBN_BANKNIFTY_15.00_Thu_0.2%.csv", days_to_run=[3])</v>
      </c>
      <c r="K24" s="15"/>
      <c r="P24" t="str">
        <f t="shared" si="5"/>
        <v>Thu</v>
      </c>
      <c r="AX24" t="str">
        <f t="shared" si="0"/>
        <v>D48</v>
      </c>
      <c r="AY24" t="str">
        <f t="shared" si="1"/>
        <v>E48</v>
      </c>
      <c r="AZ24" t="str">
        <f t="shared" si="2"/>
        <v>P48</v>
      </c>
      <c r="BA24" t="str">
        <f t="shared" si="3"/>
        <v>G48</v>
      </c>
      <c r="BC24">
        <f>IF(MAX($BC$1:BC23)+1&lt;=$BB$1,BC23+1,0)</f>
        <v>24</v>
      </c>
      <c r="BD24" s="2" t="str">
        <f t="shared" ca="1" si="4"/>
        <v>"NBN_NIFTY_15.00_Thu_0.1%.csv"</v>
      </c>
    </row>
    <row r="25" spans="1:56" x14ac:dyDescent="0.3">
      <c r="B25" s="3"/>
      <c r="D25" s="12"/>
      <c r="E25" s="12"/>
      <c r="F25" s="12"/>
      <c r="G25" s="10"/>
      <c r="H25" s="11"/>
      <c r="I25" s="12"/>
      <c r="J25" s="7" t="str">
        <f>IF(ISNUMBER(A24),"trade"&amp;A24&amp;".runBackTest()","")</f>
        <v>trade12.runBackTest()</v>
      </c>
      <c r="K25" s="15"/>
      <c r="P25" t="str">
        <f t="shared" si="5"/>
        <v/>
      </c>
      <c r="AX25" t="str">
        <f t="shared" si="0"/>
        <v>D0</v>
      </c>
      <c r="AY25" t="str">
        <f t="shared" si="1"/>
        <v>E0</v>
      </c>
      <c r="AZ25" t="str">
        <f t="shared" si="2"/>
        <v>P0</v>
      </c>
      <c r="BA25" t="str">
        <f t="shared" si="3"/>
        <v>G0</v>
      </c>
      <c r="BC25">
        <f>IF(MAX($BC$1:BC24)+1&lt;=$BB$1,BC24+1,0)</f>
        <v>0</v>
      </c>
      <c r="BD25" s="2" t="str">
        <f t="shared" ca="1" si="4"/>
        <v/>
      </c>
    </row>
    <row r="26" spans="1:56" x14ac:dyDescent="0.3">
      <c r="A26">
        <f>IF(ISNUMBER(G26),A24+1,"")</f>
        <v>13</v>
      </c>
      <c r="B26" s="1">
        <f>IF(ISNUMBER(G26),B24,"")</f>
        <v>43525</v>
      </c>
      <c r="C26" s="1">
        <f>IF(ISNUMBER(G26),C24,"")</f>
        <v>44742</v>
      </c>
      <c r="D26" s="12" t="s">
        <v>13</v>
      </c>
      <c r="E26" s="9">
        <v>0.39583333333333331</v>
      </c>
      <c r="F26" s="9">
        <v>0.64166666666666672</v>
      </c>
      <c r="G26" s="10">
        <v>5.0000000000000001E-3</v>
      </c>
      <c r="H26" s="11" t="s">
        <v>9</v>
      </c>
      <c r="I26" s="12">
        <v>1</v>
      </c>
      <c r="J26" s="7" t="str">
        <f>IF(AND(ISNUMBER(A26),ISNUMBER(A24)),IF(ISNUMBER(A26),"trade"&amp;A26&amp;" = setTimeStraddleIndexSL(index="&amp;CHAR(34)&amp;D26&amp;CHAR(34)&amp;", start_date="&amp;CHAR(34)&amp;TEXT(B26,"YYYY-mm-DD")&amp;CHAR(34)&amp;", end_date="&amp;CHAR(34)&amp;TEXT(C26,"YYYY-mm-DD")&amp;CHAR(34)&amp;", entry_time="&amp;CHAR(34)&amp;TEXT(E26,"HH:MM:SS")&amp;CHAR(34)&amp;", exit_time="&amp;CHAR(34)&amp;TEXT(F26,"HH:MM:SS")&amp;CHAR(34)&amp;", stop_loss_p="&amp;G26&amp;", historical_data_path="&amp;CHAR(34)&amp;"./"&amp;IF(D26="BANKNIFTY","b","")&amp;"n_historical_data/"&amp;CHAR(34)&amp;", number_of_lots="&amp;I26&amp;", csv_out_file="&amp;CHAR(34)&amp;$L$8&amp;"_"&amp;D26&amp;"_"&amp;TEXT(E26,"HH.MM")&amp;"_"&amp;P26&amp;"_"&amp;ROUND(G26*100,2)&amp;"%.csv"&amp;CHAR(34)&amp;", days_to_run=["&amp;H26&amp;"])",""),IF(ISNUMBER(A24),$BE$1,""))</f>
        <v>trade13 = setTimeStraddleIndexSL(index="NIFTY", start_date="2019-03-01", end_date="2022-06-30", entry_time="09:30:00", exit_time="15:24:00", stop_loss_p=0.005, historical_data_path="./n_historical_data/", number_of_lots=1, csv_out_file="NBN_NIFTY_09.30_Mon_0.5%.csv", days_to_run=[0,1,4])</v>
      </c>
      <c r="K26" s="15"/>
      <c r="P26" t="str">
        <f t="shared" si="5"/>
        <v>Mon</v>
      </c>
      <c r="AX26" t="str">
        <f t="shared" si="0"/>
        <v>D0</v>
      </c>
      <c r="AY26" t="str">
        <f t="shared" si="1"/>
        <v>E0</v>
      </c>
      <c r="AZ26" t="str">
        <f t="shared" si="2"/>
        <v>P0</v>
      </c>
      <c r="BA26" t="str">
        <f t="shared" si="3"/>
        <v>G0</v>
      </c>
      <c r="BC26">
        <f>IF(MAX($BC$1:BC25)+1&lt;=$BB$1,BC25+1,0)</f>
        <v>0</v>
      </c>
      <c r="BD26" s="2" t="str">
        <f t="shared" ca="1" si="4"/>
        <v/>
      </c>
    </row>
    <row r="27" spans="1:56" x14ac:dyDescent="0.3">
      <c r="A27" s="3"/>
      <c r="D27" s="12"/>
      <c r="E27" s="13"/>
      <c r="F27" s="13"/>
      <c r="G27" s="14"/>
      <c r="H27" s="11"/>
      <c r="I27" s="13"/>
      <c r="J27" s="7" t="str">
        <f>IF(ISNUMBER(A26),"trade"&amp;A26&amp;".runBackTest()","")</f>
        <v>trade13.runBackTest()</v>
      </c>
      <c r="K27" s="15"/>
      <c r="P27" t="str">
        <f t="shared" si="5"/>
        <v/>
      </c>
      <c r="AX27" t="str">
        <f t="shared" si="0"/>
        <v>D0</v>
      </c>
      <c r="AY27" t="str">
        <f t="shared" si="1"/>
        <v>E0</v>
      </c>
      <c r="AZ27" t="str">
        <f t="shared" si="2"/>
        <v>P0</v>
      </c>
      <c r="BA27" t="str">
        <f t="shared" si="3"/>
        <v>G0</v>
      </c>
      <c r="BC27">
        <f>IF(MAX($BC$1:BC26)+1&lt;=$BB$1,BC26+1,0)</f>
        <v>0</v>
      </c>
      <c r="BD27" s="2" t="str">
        <f t="shared" ca="1" si="4"/>
        <v/>
      </c>
    </row>
    <row r="28" spans="1:56" x14ac:dyDescent="0.3">
      <c r="A28">
        <f>IF(ISNUMBER(G28),A26+1,"")</f>
        <v>14</v>
      </c>
      <c r="B28" s="1">
        <f>IF(ISNUMBER(G28),B26,"")</f>
        <v>43525</v>
      </c>
      <c r="C28" s="1">
        <f>IF(ISNUMBER(G28),C26,"")</f>
        <v>44742</v>
      </c>
      <c r="D28" s="12" t="s">
        <v>13</v>
      </c>
      <c r="E28" s="9">
        <v>0.39583333333333331</v>
      </c>
      <c r="F28" s="9">
        <v>0.64166666666666672</v>
      </c>
      <c r="G28" s="10">
        <v>4.0000000000000001E-3</v>
      </c>
      <c r="H28" s="11">
        <v>2</v>
      </c>
      <c r="I28" s="12">
        <v>1</v>
      </c>
      <c r="J28" s="7" t="str">
        <f>IF(AND(ISNUMBER(A28),ISNUMBER(A26)),IF(ISNUMBER(A28),"trade"&amp;A28&amp;" = setTimeStraddleIndexSL(index="&amp;CHAR(34)&amp;D28&amp;CHAR(34)&amp;", start_date="&amp;CHAR(34)&amp;TEXT(B28,"YYYY-mm-DD")&amp;CHAR(34)&amp;", end_date="&amp;CHAR(34)&amp;TEXT(C28,"YYYY-mm-DD")&amp;CHAR(34)&amp;", entry_time="&amp;CHAR(34)&amp;TEXT(E28,"HH:MM:SS")&amp;CHAR(34)&amp;", exit_time="&amp;CHAR(34)&amp;TEXT(F28,"HH:MM:SS")&amp;CHAR(34)&amp;", stop_loss_p="&amp;G28&amp;", historical_data_path="&amp;CHAR(34)&amp;"./"&amp;IF(D28="BANKNIFTY","b","")&amp;"n_historical_data/"&amp;CHAR(34)&amp;", number_of_lots="&amp;I28&amp;", csv_out_file="&amp;CHAR(34)&amp;$L$8&amp;"_"&amp;D28&amp;"_"&amp;TEXT(E28,"HH.MM")&amp;"_"&amp;P28&amp;"_"&amp;ROUND(G28*100,2)&amp;"%.csv"&amp;CHAR(34)&amp;", days_to_run=["&amp;H28&amp;"])",""),IF(ISNUMBER(A26),$BE$1,""))</f>
        <v>trade14 = setTimeStraddleIndexSL(index="NIFTY", start_date="2019-03-01", end_date="2022-06-30", entry_time="09:30:00", exit_time="15:24:00", stop_loss_p=0.004, historical_data_path="./n_historical_data/", number_of_lots=1, csv_out_file="NBN_NIFTY_09.30_Wed_0.4%.csv", days_to_run=[2])</v>
      </c>
      <c r="K28" s="15"/>
      <c r="P28" t="str">
        <f t="shared" si="5"/>
        <v>Wed</v>
      </c>
      <c r="AX28" t="str">
        <f t="shared" si="0"/>
        <v>D0</v>
      </c>
      <c r="AY28" t="str">
        <f t="shared" si="1"/>
        <v>E0</v>
      </c>
      <c r="AZ28" t="str">
        <f t="shared" si="2"/>
        <v>P0</v>
      </c>
      <c r="BA28" t="str">
        <f t="shared" si="3"/>
        <v>G0</v>
      </c>
      <c r="BC28">
        <f>IF(MAX($BC$1:BC27)+1&lt;=$BB$1,BC27+1,0)</f>
        <v>0</v>
      </c>
      <c r="BD28" s="2" t="str">
        <f t="shared" ca="1" si="4"/>
        <v/>
      </c>
    </row>
    <row r="29" spans="1:56" x14ac:dyDescent="0.3">
      <c r="A29" s="3"/>
      <c r="B29" s="3"/>
      <c r="D29" s="12"/>
      <c r="E29" s="13"/>
      <c r="F29" s="13"/>
      <c r="G29" s="14"/>
      <c r="H29" s="11"/>
      <c r="I29" s="13"/>
      <c r="J29" s="7" t="str">
        <f>IF(ISNUMBER(A28),"trade"&amp;A28&amp;".runBackTest()","")</f>
        <v>trade14.runBackTest()</v>
      </c>
      <c r="K29" s="15"/>
      <c r="P29" t="str">
        <f t="shared" si="5"/>
        <v/>
      </c>
    </row>
    <row r="30" spans="1:56" x14ac:dyDescent="0.3">
      <c r="A30">
        <f>IF(ISNUMBER(G30),A28+1,"")</f>
        <v>15</v>
      </c>
      <c r="B30" s="1">
        <f>IF(ISNUMBER(G30),B28,"")</f>
        <v>43525</v>
      </c>
      <c r="C30" s="1">
        <f>IF(ISNUMBER(G30),C28,"")</f>
        <v>44742</v>
      </c>
      <c r="D30" s="12" t="s">
        <v>13</v>
      </c>
      <c r="E30" s="9">
        <v>0.39583333333333331</v>
      </c>
      <c r="F30" s="9">
        <v>0.64166666666666672</v>
      </c>
      <c r="G30" s="10">
        <v>4.0000000000000001E-3</v>
      </c>
      <c r="H30" s="11">
        <v>3</v>
      </c>
      <c r="I30" s="12">
        <v>2</v>
      </c>
      <c r="J30" s="7" t="str">
        <f>IF(AND(ISNUMBER(A30),ISNUMBER(A28)),IF(ISNUMBER(A30),"trade"&amp;A30&amp;" = setTimeStraddleIndexSL(index="&amp;CHAR(34)&amp;D30&amp;CHAR(34)&amp;", start_date="&amp;CHAR(34)&amp;TEXT(B30,"YYYY-mm-DD")&amp;CHAR(34)&amp;", end_date="&amp;CHAR(34)&amp;TEXT(C30,"YYYY-mm-DD")&amp;CHAR(34)&amp;", entry_time="&amp;CHAR(34)&amp;TEXT(E30,"HH:MM:SS")&amp;CHAR(34)&amp;", exit_time="&amp;CHAR(34)&amp;TEXT(F30,"HH:MM:SS")&amp;CHAR(34)&amp;", stop_loss_p="&amp;G30&amp;", historical_data_path="&amp;CHAR(34)&amp;"./"&amp;IF(D30="BANKNIFTY","b","")&amp;"n_historical_data/"&amp;CHAR(34)&amp;", number_of_lots="&amp;I30&amp;", csv_out_file="&amp;CHAR(34)&amp;$L$8&amp;"_"&amp;D30&amp;"_"&amp;TEXT(E30,"HH.MM")&amp;"_"&amp;P30&amp;"_"&amp;ROUND(G30*100,2)&amp;"%.csv"&amp;CHAR(34)&amp;", days_to_run=["&amp;H30&amp;"])",""),IF(ISNUMBER(A28),$BE$1,""))</f>
        <v>trade15 = setTimeStraddleIndexSL(index="NIFTY", start_date="2019-03-01", end_date="2022-06-30", entry_time="09:30:00", exit_time="15:24:00", stop_loss_p=0.004, historical_data_path="./n_historical_data/", number_of_lots=2, csv_out_file="NBN_NIFTY_09.30_Thu_0.4%.csv", days_to_run=[3])</v>
      </c>
      <c r="K30" s="15"/>
      <c r="P30" t="str">
        <f t="shared" si="5"/>
        <v>Thu</v>
      </c>
    </row>
    <row r="31" spans="1:56" x14ac:dyDescent="0.3">
      <c r="A31" s="3"/>
      <c r="B31" s="3"/>
      <c r="D31" s="12"/>
      <c r="E31" s="13"/>
      <c r="F31" s="13"/>
      <c r="G31" s="14"/>
      <c r="H31" s="11"/>
      <c r="I31" s="13"/>
      <c r="J31" s="7" t="str">
        <f>IF(ISNUMBER(A30),"trade"&amp;A30&amp;".runBackTest()","")</f>
        <v>trade15.runBackTest()</v>
      </c>
      <c r="K31" s="15"/>
      <c r="P31" t="str">
        <f t="shared" si="5"/>
        <v/>
      </c>
    </row>
    <row r="32" spans="1:56" x14ac:dyDescent="0.3">
      <c r="A32">
        <f>IF(ISNUMBER(G32),A30+1,"")</f>
        <v>16</v>
      </c>
      <c r="B32" s="1">
        <f>IF(ISNUMBER(G32),B30,"")</f>
        <v>43525</v>
      </c>
      <c r="C32" s="1">
        <f>IF(ISNUMBER(G32),C30,"")</f>
        <v>44742</v>
      </c>
      <c r="D32" s="12" t="s">
        <v>13</v>
      </c>
      <c r="E32" s="9">
        <v>0.52083333333333337</v>
      </c>
      <c r="F32" s="9">
        <v>0.64166666666666672</v>
      </c>
      <c r="G32" s="10">
        <v>5.0000000000000001E-3</v>
      </c>
      <c r="H32" s="11" t="s">
        <v>9</v>
      </c>
      <c r="I32" s="12">
        <v>1</v>
      </c>
      <c r="J32" s="7" t="str">
        <f>IF(AND(ISNUMBER(A32),ISNUMBER(A30)),IF(ISNUMBER(A32),"trade"&amp;A32&amp;" = setTimeStraddleIndexSL(index="&amp;CHAR(34)&amp;D32&amp;CHAR(34)&amp;", start_date="&amp;CHAR(34)&amp;TEXT(B32,"YYYY-mm-DD")&amp;CHAR(34)&amp;", end_date="&amp;CHAR(34)&amp;TEXT(C32,"YYYY-mm-DD")&amp;CHAR(34)&amp;", entry_time="&amp;CHAR(34)&amp;TEXT(E32,"HH:MM:SS")&amp;CHAR(34)&amp;", exit_time="&amp;CHAR(34)&amp;TEXT(F32,"HH:MM:SS")&amp;CHAR(34)&amp;", stop_loss_p="&amp;G32&amp;", historical_data_path="&amp;CHAR(34)&amp;"./"&amp;IF(D32="BANKNIFTY","b","")&amp;"n_historical_data/"&amp;CHAR(34)&amp;", number_of_lots="&amp;I32&amp;", csv_out_file="&amp;CHAR(34)&amp;$L$8&amp;"_"&amp;D32&amp;"_"&amp;TEXT(E32,"HH.MM")&amp;"_"&amp;P32&amp;"_"&amp;ROUND(G32*100,2)&amp;"%.csv"&amp;CHAR(34)&amp;", days_to_run=["&amp;H32&amp;"])",""),IF(ISNUMBER(A30),$BE$1,""))</f>
        <v>trade16 = setTimeStraddleIndexSL(index="NIFTY", start_date="2019-03-01", end_date="2022-06-30", entry_time="12:30:00", exit_time="15:24:00", stop_loss_p=0.005, historical_data_path="./n_historical_data/", number_of_lots=1, csv_out_file="NBN_NIFTY_12.30_Mon_0.5%.csv", days_to_run=[0,1,4])</v>
      </c>
      <c r="K32" s="15"/>
      <c r="P32" t="str">
        <f t="shared" si="5"/>
        <v>Mon</v>
      </c>
    </row>
    <row r="33" spans="1:16" x14ac:dyDescent="0.3">
      <c r="A33" s="3"/>
      <c r="B33" s="3"/>
      <c r="D33" s="12"/>
      <c r="E33" s="13"/>
      <c r="F33" s="13"/>
      <c r="G33" s="14"/>
      <c r="H33" s="11"/>
      <c r="I33" s="13"/>
      <c r="J33" s="7" t="str">
        <f>IF(ISNUMBER(A32),"trade"&amp;A32&amp;".runBackTest()","")</f>
        <v>trade16.runBackTest()</v>
      </c>
      <c r="K33" s="15"/>
      <c r="P33" t="str">
        <f t="shared" si="5"/>
        <v/>
      </c>
    </row>
    <row r="34" spans="1:16" x14ac:dyDescent="0.3">
      <c r="A34">
        <f>IF(ISNUMBER(G34),A32+1,"")</f>
        <v>17</v>
      </c>
      <c r="B34" s="1">
        <f>IF(ISNUMBER(G34),B32,"")</f>
        <v>43525</v>
      </c>
      <c r="C34" s="1">
        <f>IF(ISNUMBER(G34),C32,"")</f>
        <v>44742</v>
      </c>
      <c r="D34" s="12" t="s">
        <v>13</v>
      </c>
      <c r="E34" s="9">
        <v>0.52083333333333337</v>
      </c>
      <c r="F34" s="9">
        <v>0.64166666666666672</v>
      </c>
      <c r="G34" s="10">
        <v>4.0000000000000001E-3</v>
      </c>
      <c r="H34" s="11">
        <v>2</v>
      </c>
      <c r="I34" s="12">
        <v>1</v>
      </c>
      <c r="J34" s="7" t="str">
        <f>IF(AND(ISNUMBER(A34),ISNUMBER(A32)),IF(ISNUMBER(A34),"trade"&amp;A34&amp;" = setTimeStraddleIndexSL(index="&amp;CHAR(34)&amp;D34&amp;CHAR(34)&amp;", start_date="&amp;CHAR(34)&amp;TEXT(B34,"YYYY-mm-DD")&amp;CHAR(34)&amp;", end_date="&amp;CHAR(34)&amp;TEXT(C34,"YYYY-mm-DD")&amp;CHAR(34)&amp;", entry_time="&amp;CHAR(34)&amp;TEXT(E34,"HH:MM:SS")&amp;CHAR(34)&amp;", exit_time="&amp;CHAR(34)&amp;TEXT(F34,"HH:MM:SS")&amp;CHAR(34)&amp;", stop_loss_p="&amp;G34&amp;", historical_data_path="&amp;CHAR(34)&amp;"./"&amp;IF(D34="BANKNIFTY","b","")&amp;"n_historical_data/"&amp;CHAR(34)&amp;", number_of_lots="&amp;I34&amp;", csv_out_file="&amp;CHAR(34)&amp;$L$8&amp;"_"&amp;D34&amp;"_"&amp;TEXT(E34,"HH.MM")&amp;"_"&amp;P34&amp;"_"&amp;ROUND(G34*100,2)&amp;"%.csv"&amp;CHAR(34)&amp;", days_to_run=["&amp;H34&amp;"])",""),IF(ISNUMBER(A32),$BE$1,""))</f>
        <v>trade17 = setTimeStraddleIndexSL(index="NIFTY", start_date="2019-03-01", end_date="2022-06-30", entry_time="12:30:00", exit_time="15:24:00", stop_loss_p=0.004, historical_data_path="./n_historical_data/", number_of_lots=1, csv_out_file="NBN_NIFTY_12.30_Wed_0.4%.csv", days_to_run=[2])</v>
      </c>
      <c r="K34" s="15"/>
      <c r="P34" t="str">
        <f t="shared" si="5"/>
        <v>Wed</v>
      </c>
    </row>
    <row r="35" spans="1:16" x14ac:dyDescent="0.3">
      <c r="A35" s="3"/>
      <c r="D35" s="12"/>
      <c r="E35" s="13"/>
      <c r="F35" s="13"/>
      <c r="G35" s="14"/>
      <c r="H35" s="11"/>
      <c r="I35" s="13"/>
      <c r="J35" s="7" t="str">
        <f>IF(ISNUMBER(A34),"trade"&amp;A34&amp;".runBackTest()","")</f>
        <v>trade17.runBackTest()</v>
      </c>
      <c r="K35" s="15"/>
      <c r="P35" t="str">
        <f t="shared" si="5"/>
        <v/>
      </c>
    </row>
    <row r="36" spans="1:16" x14ac:dyDescent="0.3">
      <c r="A36">
        <f>IF(ISNUMBER(G36),A34+1,"")</f>
        <v>18</v>
      </c>
      <c r="B36" s="1">
        <f>IF(ISNUMBER(G36),B34,"")</f>
        <v>43525</v>
      </c>
      <c r="C36" s="1">
        <f>IF(ISNUMBER(G36),C34,"")</f>
        <v>44742</v>
      </c>
      <c r="D36" s="12" t="s">
        <v>13</v>
      </c>
      <c r="E36" s="9">
        <v>0.52083333333333337</v>
      </c>
      <c r="F36" s="9">
        <v>0.64166666666666672</v>
      </c>
      <c r="G36" s="10">
        <v>4.0000000000000001E-3</v>
      </c>
      <c r="H36" s="11">
        <v>3</v>
      </c>
      <c r="I36" s="12">
        <v>2</v>
      </c>
      <c r="J36" s="7" t="str">
        <f>IF(AND(ISNUMBER(A36),ISNUMBER(A34)),IF(ISNUMBER(A36),"trade"&amp;A36&amp;" = setTimeStraddleIndexSL(index="&amp;CHAR(34)&amp;D36&amp;CHAR(34)&amp;", start_date="&amp;CHAR(34)&amp;TEXT(B36,"YYYY-mm-DD")&amp;CHAR(34)&amp;", end_date="&amp;CHAR(34)&amp;TEXT(C36,"YYYY-mm-DD")&amp;CHAR(34)&amp;", entry_time="&amp;CHAR(34)&amp;TEXT(E36,"HH:MM:SS")&amp;CHAR(34)&amp;", exit_time="&amp;CHAR(34)&amp;TEXT(F36,"HH:MM:SS")&amp;CHAR(34)&amp;", stop_loss_p="&amp;G36&amp;", historical_data_path="&amp;CHAR(34)&amp;"./"&amp;IF(D36="BANKNIFTY","b","")&amp;"n_historical_data/"&amp;CHAR(34)&amp;", number_of_lots="&amp;I36&amp;", csv_out_file="&amp;CHAR(34)&amp;$L$8&amp;"_"&amp;D36&amp;"_"&amp;TEXT(E36,"HH.MM")&amp;"_"&amp;P36&amp;"_"&amp;ROUND(G36*100,2)&amp;"%.csv"&amp;CHAR(34)&amp;", days_to_run=["&amp;H36&amp;"])",""),IF(ISNUMBER(A34),$BE$1,""))</f>
        <v>trade18 = setTimeStraddleIndexSL(index="NIFTY", start_date="2019-03-01", end_date="2022-06-30", entry_time="12:30:00", exit_time="15:24:00", stop_loss_p=0.004, historical_data_path="./n_historical_data/", number_of_lots=2, csv_out_file="NBN_NIFTY_12.30_Thu_0.4%.csv", days_to_run=[3])</v>
      </c>
      <c r="K36" s="15"/>
      <c r="P36" t="str">
        <f t="shared" si="5"/>
        <v>Thu</v>
      </c>
    </row>
    <row r="37" spans="1:16" x14ac:dyDescent="0.3">
      <c r="A37" s="3"/>
      <c r="B37" s="3"/>
      <c r="D37" s="12"/>
      <c r="E37" s="13"/>
      <c r="F37" s="13"/>
      <c r="G37" s="14"/>
      <c r="H37" s="11"/>
      <c r="I37" s="13"/>
      <c r="J37" s="7" t="str">
        <f>IF(ISNUMBER(A36),"trade"&amp;A36&amp;".runBackTest()","")</f>
        <v>trade18.runBackTest()</v>
      </c>
      <c r="K37" s="15"/>
      <c r="P37" t="str">
        <f t="shared" si="5"/>
        <v/>
      </c>
    </row>
    <row r="38" spans="1:16" x14ac:dyDescent="0.3">
      <c r="A38">
        <f>IF(ISNUMBER(G38),A36+1,"")</f>
        <v>19</v>
      </c>
      <c r="B38" s="1">
        <f>IF(ISNUMBER(G38),B36,"")</f>
        <v>43525</v>
      </c>
      <c r="C38" s="1">
        <f>IF(ISNUMBER(G38),C36,"")</f>
        <v>44742</v>
      </c>
      <c r="D38" s="12" t="s">
        <v>13</v>
      </c>
      <c r="E38" s="9">
        <v>0.45833333333333331</v>
      </c>
      <c r="F38" s="9">
        <v>0.62361111111111112</v>
      </c>
      <c r="G38" s="10">
        <v>1E-3</v>
      </c>
      <c r="H38" s="11" t="s">
        <v>11</v>
      </c>
      <c r="I38" s="12">
        <v>1</v>
      </c>
      <c r="J38" s="7" t="str">
        <f>IF(AND(ISNUMBER(A38),ISNUMBER(A36)),IF(ISNUMBER(A38),"trade"&amp;A38&amp;" = setTimeStraddleIndexSL(index="&amp;CHAR(34)&amp;D38&amp;CHAR(34)&amp;", start_date="&amp;CHAR(34)&amp;TEXT(B38,"YYYY-mm-DD")&amp;CHAR(34)&amp;", end_date="&amp;CHAR(34)&amp;TEXT(C38,"YYYY-mm-DD")&amp;CHAR(34)&amp;", entry_time="&amp;CHAR(34)&amp;TEXT(E38,"HH:MM:SS")&amp;CHAR(34)&amp;", exit_time="&amp;CHAR(34)&amp;TEXT(F38,"HH:MM:SS")&amp;CHAR(34)&amp;", stop_loss_p="&amp;G38&amp;", historical_data_path="&amp;CHAR(34)&amp;"./"&amp;IF(D38="BANKNIFTY","b","")&amp;"n_historical_data/"&amp;CHAR(34)&amp;", number_of_lots="&amp;I38&amp;", csv_out_file="&amp;CHAR(34)&amp;$L$8&amp;"_"&amp;D38&amp;"_"&amp;TEXT(E38,"HH.MM")&amp;"_"&amp;P38&amp;"_"&amp;ROUND(G38*100,2)&amp;"%.csv"&amp;CHAR(34)&amp;", days_to_run=["&amp;H38&amp;"])",""),IF(ISNUMBER(A36),$BE$1,""))</f>
        <v>trade19 = setTimeStraddleIndexSL(index="NIFTY", start_date="2019-03-01", end_date="2022-06-30", entry_time="11:00:00", exit_time="14:58:00", stop_loss_p=0.001, historical_data_path="./n_historical_data/", number_of_lots=1, csv_out_file="NBN_NIFTY_11.00_Mon_0.1%.csv", days_to_run=[0,1,2,4])</v>
      </c>
      <c r="K38" s="15"/>
      <c r="P38" t="str">
        <f t="shared" si="5"/>
        <v>Mon</v>
      </c>
    </row>
    <row r="39" spans="1:16" x14ac:dyDescent="0.3">
      <c r="A39" s="3"/>
      <c r="B39" s="3"/>
      <c r="D39" s="12"/>
      <c r="E39" s="13"/>
      <c r="F39" s="13"/>
      <c r="G39" s="14"/>
      <c r="H39" s="11"/>
      <c r="I39" s="13"/>
      <c r="J39" s="7" t="str">
        <f>IF(ISNUMBER(A38),"trade"&amp;A38&amp;".runBackTest()","")</f>
        <v>trade19.runBackTest()</v>
      </c>
      <c r="K39" s="15"/>
      <c r="P39" t="str">
        <f t="shared" si="5"/>
        <v/>
      </c>
    </row>
    <row r="40" spans="1:16" x14ac:dyDescent="0.3">
      <c r="A40">
        <f>IF(ISNUMBER(G40),A38+1,"")</f>
        <v>20</v>
      </c>
      <c r="B40" s="1">
        <f>IF(ISNUMBER(G40),B38,"")</f>
        <v>43525</v>
      </c>
      <c r="C40" s="1">
        <f>IF(ISNUMBER(G40),C38,"")</f>
        <v>44742</v>
      </c>
      <c r="D40" s="12" t="s">
        <v>13</v>
      </c>
      <c r="E40" s="9">
        <v>0.45833333333333331</v>
      </c>
      <c r="F40" s="9">
        <v>0.62361111111111112</v>
      </c>
      <c r="G40" s="10">
        <v>1E-3</v>
      </c>
      <c r="H40" s="11">
        <v>3</v>
      </c>
      <c r="I40" s="12">
        <v>2</v>
      </c>
      <c r="J40" s="7" t="str">
        <f>IF(AND(ISNUMBER(A40),ISNUMBER(A38)),IF(ISNUMBER(A40),"trade"&amp;A40&amp;" = setTimeStraddleIndexSL(index="&amp;CHAR(34)&amp;D40&amp;CHAR(34)&amp;", start_date="&amp;CHAR(34)&amp;TEXT(B40,"YYYY-mm-DD")&amp;CHAR(34)&amp;", end_date="&amp;CHAR(34)&amp;TEXT(C40,"YYYY-mm-DD")&amp;CHAR(34)&amp;", entry_time="&amp;CHAR(34)&amp;TEXT(E40,"HH:MM:SS")&amp;CHAR(34)&amp;", exit_time="&amp;CHAR(34)&amp;TEXT(F40,"HH:MM:SS")&amp;CHAR(34)&amp;", stop_loss_p="&amp;G40&amp;", historical_data_path="&amp;CHAR(34)&amp;"./"&amp;IF(D40="BANKNIFTY","b","")&amp;"n_historical_data/"&amp;CHAR(34)&amp;", number_of_lots="&amp;I40&amp;", csv_out_file="&amp;CHAR(34)&amp;$L$8&amp;"_"&amp;D40&amp;"_"&amp;TEXT(E40,"HH.MM")&amp;"_"&amp;P40&amp;"_"&amp;ROUND(G40*100,2)&amp;"%.csv"&amp;CHAR(34)&amp;", days_to_run=["&amp;H40&amp;"])",""),IF(ISNUMBER(A38),$BE$1,""))</f>
        <v>trade20 = setTimeStraddleIndexSL(index="NIFTY", start_date="2019-03-01", end_date="2022-06-30", entry_time="11:00:00", exit_time="14:58:00", stop_loss_p=0.001, historical_data_path="./n_historical_data/", number_of_lots=2, csv_out_file="NBN_NIFTY_11.00_Thu_0.1%.csv", days_to_run=[3])</v>
      </c>
      <c r="K40" s="15"/>
      <c r="P40" t="str">
        <f t="shared" si="5"/>
        <v>Thu</v>
      </c>
    </row>
    <row r="41" spans="1:16" x14ac:dyDescent="0.3">
      <c r="A41" s="3"/>
      <c r="B41" s="3"/>
      <c r="D41" s="12"/>
      <c r="E41" s="13"/>
      <c r="F41" s="13"/>
      <c r="G41" s="14"/>
      <c r="H41" s="11"/>
      <c r="I41" s="13"/>
      <c r="J41" s="7" t="str">
        <f>IF(ISNUMBER(A40),"trade"&amp;A40&amp;".runBackTest()","")</f>
        <v>trade20.runBackTest()</v>
      </c>
      <c r="K41" s="15"/>
      <c r="P41" t="str">
        <f t="shared" si="5"/>
        <v/>
      </c>
    </row>
    <row r="42" spans="1:16" x14ac:dyDescent="0.3">
      <c r="A42">
        <f>IF(ISNUMBER(G42),A40+1,"")</f>
        <v>21</v>
      </c>
      <c r="B42" s="1">
        <f>IF(ISNUMBER(G42),B40,"")</f>
        <v>43525</v>
      </c>
      <c r="C42" s="1">
        <f>IF(ISNUMBER(G42),C40,"")</f>
        <v>44742</v>
      </c>
      <c r="D42" s="12" t="s">
        <v>13</v>
      </c>
      <c r="E42" s="9">
        <v>0.59375</v>
      </c>
      <c r="F42" s="9">
        <v>0.64166666666666672</v>
      </c>
      <c r="G42" s="10">
        <v>3.0000000000000001E-3</v>
      </c>
      <c r="H42" s="11" t="s">
        <v>12</v>
      </c>
      <c r="I42" s="12">
        <v>1</v>
      </c>
      <c r="J42" s="7" t="str">
        <f>IF(AND(ISNUMBER(A42),ISNUMBER(A40)),IF(ISNUMBER(A42),"trade"&amp;A42&amp;" = setTimeStraddleIndexSL(index="&amp;CHAR(34)&amp;D42&amp;CHAR(34)&amp;", start_date="&amp;CHAR(34)&amp;TEXT(B42,"YYYY-mm-DD")&amp;CHAR(34)&amp;", end_date="&amp;CHAR(34)&amp;TEXT(C42,"YYYY-mm-DD")&amp;CHAR(34)&amp;", entry_time="&amp;CHAR(34)&amp;TEXT(E42,"HH:MM:SS")&amp;CHAR(34)&amp;", exit_time="&amp;CHAR(34)&amp;TEXT(F42,"HH:MM:SS")&amp;CHAR(34)&amp;", stop_loss_p="&amp;G42&amp;", historical_data_path="&amp;CHAR(34)&amp;"./"&amp;IF(D42="BANKNIFTY","b","")&amp;"n_historical_data/"&amp;CHAR(34)&amp;", number_of_lots="&amp;I42&amp;", csv_out_file="&amp;CHAR(34)&amp;$L$8&amp;"_"&amp;D42&amp;"_"&amp;TEXT(E42,"HH.MM")&amp;"_"&amp;P42&amp;"_"&amp;ROUND(G42*100,2)&amp;"%.csv"&amp;CHAR(34)&amp;", days_to_run=["&amp;H42&amp;"])",""),IF(ISNUMBER(A40),$BE$1,""))</f>
        <v>trade21 = setTimeStraddleIndexSL(index="NIFTY", start_date="2019-03-01", end_date="2022-06-30", entry_time="14:15:00", exit_time="15:24:00", stop_loss_p=0.003, historical_data_path="./n_historical_data/", number_of_lots=1, csv_out_file="NBN_NIFTY_14.15_Mon_0.3%.csv", days_to_run=[0,1,2])</v>
      </c>
      <c r="K42" s="15"/>
      <c r="P42" t="str">
        <f t="shared" si="5"/>
        <v>Mon</v>
      </c>
    </row>
    <row r="43" spans="1:16" x14ac:dyDescent="0.3">
      <c r="A43" s="3"/>
      <c r="B43" s="3"/>
      <c r="D43" s="12"/>
      <c r="E43" s="13"/>
      <c r="F43" s="13"/>
      <c r="G43" s="14"/>
      <c r="H43" s="11"/>
      <c r="I43" s="13"/>
      <c r="J43" s="7" t="str">
        <f>IF(ISNUMBER(A42),"trade"&amp;A42&amp;".runBackTest()","")</f>
        <v>trade21.runBackTest()</v>
      </c>
      <c r="K43" s="15"/>
      <c r="P43" t="str">
        <f t="shared" si="5"/>
        <v/>
      </c>
    </row>
    <row r="44" spans="1:16" x14ac:dyDescent="0.3">
      <c r="A44">
        <f>IF(ISNUMBER(G44),A42+1,"")</f>
        <v>22</v>
      </c>
      <c r="B44" s="1">
        <f>IF(ISNUMBER(G44),B42,"")</f>
        <v>43525</v>
      </c>
      <c r="C44" s="1">
        <f>IF(ISNUMBER(G44),C42,"")</f>
        <v>44742</v>
      </c>
      <c r="D44" s="12" t="s">
        <v>13</v>
      </c>
      <c r="E44" s="9">
        <v>0.59375</v>
      </c>
      <c r="F44" s="9">
        <v>0.64166666666666672</v>
      </c>
      <c r="G44" s="10">
        <v>2E-3</v>
      </c>
      <c r="H44" s="11">
        <v>3</v>
      </c>
      <c r="I44" s="12">
        <v>2</v>
      </c>
      <c r="J44" s="7" t="str">
        <f>IF(AND(ISNUMBER(A44),ISNUMBER(A42)),IF(ISNUMBER(A44),"trade"&amp;A44&amp;" = setTimeStraddleIndexSL(index="&amp;CHAR(34)&amp;D44&amp;CHAR(34)&amp;", start_date="&amp;CHAR(34)&amp;TEXT(B44,"YYYY-mm-DD")&amp;CHAR(34)&amp;", end_date="&amp;CHAR(34)&amp;TEXT(C44,"YYYY-mm-DD")&amp;CHAR(34)&amp;", entry_time="&amp;CHAR(34)&amp;TEXT(E44,"HH:MM:SS")&amp;CHAR(34)&amp;", exit_time="&amp;CHAR(34)&amp;TEXT(F44,"HH:MM:SS")&amp;CHAR(34)&amp;", stop_loss_p="&amp;G44&amp;", historical_data_path="&amp;CHAR(34)&amp;"./"&amp;IF(D44="BANKNIFTY","b","")&amp;"n_historical_data/"&amp;CHAR(34)&amp;", number_of_lots="&amp;I44&amp;", csv_out_file="&amp;CHAR(34)&amp;$L$8&amp;"_"&amp;D44&amp;"_"&amp;TEXT(E44,"HH.MM")&amp;"_"&amp;P44&amp;"_"&amp;ROUND(G44*100,2)&amp;"%.csv"&amp;CHAR(34)&amp;", days_to_run=["&amp;H44&amp;"])",""),IF(ISNUMBER(A42),$BE$1,""))</f>
        <v>trade22 = setTimeStraddleIndexSL(index="NIFTY", start_date="2019-03-01", end_date="2022-06-30", entry_time="14:15:00", exit_time="15:24:00", stop_loss_p=0.002, historical_data_path="./n_historical_data/", number_of_lots=2, csv_out_file="NBN_NIFTY_14.15_Thu_0.2%.csv", days_to_run=[3])</v>
      </c>
      <c r="K44" s="15"/>
      <c r="P44" t="str">
        <f t="shared" si="5"/>
        <v>Thu</v>
      </c>
    </row>
    <row r="45" spans="1:16" x14ac:dyDescent="0.3">
      <c r="A45" s="3"/>
      <c r="B45" s="3"/>
      <c r="D45" s="12"/>
      <c r="E45" s="12"/>
      <c r="F45" s="12"/>
      <c r="G45" s="10"/>
      <c r="H45" s="11"/>
      <c r="I45" s="12"/>
      <c r="J45" s="7" t="str">
        <f>IF(ISNUMBER(A44),"trade"&amp;A44&amp;".runBackTest()","")</f>
        <v>trade22.runBackTest()</v>
      </c>
      <c r="K45" s="15"/>
      <c r="P45" t="str">
        <f t="shared" si="5"/>
        <v/>
      </c>
    </row>
    <row r="46" spans="1:16" x14ac:dyDescent="0.3">
      <c r="A46">
        <f>IF(ISNUMBER(G46),A44+1,"")</f>
        <v>23</v>
      </c>
      <c r="B46" s="1">
        <f>IF(ISNUMBER(G46),B44,"")</f>
        <v>43525</v>
      </c>
      <c r="C46" s="1">
        <f>IF(ISNUMBER(G46),C44,"")</f>
        <v>44742</v>
      </c>
      <c r="D46" s="12" t="s">
        <v>13</v>
      </c>
      <c r="E46" s="9">
        <v>0.625</v>
      </c>
      <c r="F46" s="9">
        <v>0.64166666666666672</v>
      </c>
      <c r="G46" s="10">
        <v>1E-3</v>
      </c>
      <c r="H46" s="11" t="s">
        <v>12</v>
      </c>
      <c r="I46" s="12">
        <v>2</v>
      </c>
      <c r="J46" s="7" t="str">
        <f>IF(AND(ISNUMBER(A46),ISNUMBER(A44)),IF(ISNUMBER(A46),"trade"&amp;A46&amp;" = setTimeStraddleIndexSL(index="&amp;CHAR(34)&amp;D46&amp;CHAR(34)&amp;", start_date="&amp;CHAR(34)&amp;TEXT(B46,"YYYY-mm-DD")&amp;CHAR(34)&amp;", end_date="&amp;CHAR(34)&amp;TEXT(C46,"YYYY-mm-DD")&amp;CHAR(34)&amp;", entry_time="&amp;CHAR(34)&amp;TEXT(E46,"HH:MM:SS")&amp;CHAR(34)&amp;", exit_time="&amp;CHAR(34)&amp;TEXT(F46,"HH:MM:SS")&amp;CHAR(34)&amp;", stop_loss_p="&amp;G46&amp;", historical_data_path="&amp;CHAR(34)&amp;"./"&amp;IF(D46="BANKNIFTY","b","")&amp;"n_historical_data/"&amp;CHAR(34)&amp;", number_of_lots="&amp;I46&amp;", csv_out_file="&amp;CHAR(34)&amp;$L$8&amp;"_"&amp;D46&amp;"_"&amp;TEXT(E46,"HH.MM")&amp;"_"&amp;P46&amp;"_"&amp;ROUND(G46*100,2)&amp;"%.csv"&amp;CHAR(34)&amp;", days_to_run=["&amp;H46&amp;"])",""),IF(ISNUMBER(A44),$BE$1,""))</f>
        <v>trade23 = setTimeStraddleIndexSL(index="NIFTY", start_date="2019-03-01", end_date="2022-06-30", entry_time="15:00:00", exit_time="15:24:00", stop_loss_p=0.001, historical_data_path="./n_historical_data/", number_of_lots=2, csv_out_file="NBN_NIFTY_15.00_Mon_0.1%.csv", days_to_run=[0,1,2])</v>
      </c>
      <c r="K46" s="15"/>
      <c r="P46" t="str">
        <f t="shared" si="5"/>
        <v>Mon</v>
      </c>
    </row>
    <row r="47" spans="1:16" x14ac:dyDescent="0.3">
      <c r="A47" s="3"/>
      <c r="B47" s="3"/>
      <c r="D47" s="12"/>
      <c r="E47" s="12"/>
      <c r="F47" s="12"/>
      <c r="G47" s="10"/>
      <c r="H47" s="11"/>
      <c r="I47" s="12"/>
      <c r="J47" s="7" t="str">
        <f>IF(ISNUMBER(A46),"trade"&amp;A46&amp;".runBackTest()","")</f>
        <v>trade23.runBackTest()</v>
      </c>
      <c r="K47" s="15"/>
      <c r="P47" t="str">
        <f t="shared" si="5"/>
        <v/>
      </c>
    </row>
    <row r="48" spans="1:16" x14ac:dyDescent="0.3">
      <c r="A48">
        <f>IF(ISNUMBER(G48),A46+1,"")</f>
        <v>24</v>
      </c>
      <c r="B48" s="1">
        <f>IF(ISNUMBER(G48),B46,"")</f>
        <v>43525</v>
      </c>
      <c r="C48" s="1">
        <f>IF(ISNUMBER(G48),C46,"")</f>
        <v>44742</v>
      </c>
      <c r="D48" s="12" t="s">
        <v>13</v>
      </c>
      <c r="E48" s="9">
        <v>0.625</v>
      </c>
      <c r="F48" s="9">
        <v>0.64166666666666672</v>
      </c>
      <c r="G48" s="10">
        <v>1E-3</v>
      </c>
      <c r="H48" s="11">
        <v>3</v>
      </c>
      <c r="I48" s="12">
        <v>4</v>
      </c>
      <c r="J48" s="7" t="str">
        <f>IF(AND(ISNUMBER(A48),ISNUMBER(A46)),IF(ISNUMBER(A48),"trade"&amp;A48&amp;" = setTimeStraddleIndexSL(index="&amp;CHAR(34)&amp;D48&amp;CHAR(34)&amp;", start_date="&amp;CHAR(34)&amp;TEXT(B48,"YYYY-mm-DD")&amp;CHAR(34)&amp;", end_date="&amp;CHAR(34)&amp;TEXT(C48,"YYYY-mm-DD")&amp;CHAR(34)&amp;", entry_time="&amp;CHAR(34)&amp;TEXT(E48,"HH:MM:SS")&amp;CHAR(34)&amp;", exit_time="&amp;CHAR(34)&amp;TEXT(F48,"HH:MM:SS")&amp;CHAR(34)&amp;", stop_loss_p="&amp;G48&amp;", historical_data_path="&amp;CHAR(34)&amp;"./"&amp;IF(D48="BANKNIFTY","b","")&amp;"n_historical_data/"&amp;CHAR(34)&amp;", number_of_lots="&amp;I48&amp;", csv_out_file="&amp;CHAR(34)&amp;$L$8&amp;"_"&amp;D48&amp;"_"&amp;TEXT(E48,"HH.MM")&amp;"_"&amp;P48&amp;"_"&amp;ROUND(G48*100,2)&amp;"%.csv"&amp;CHAR(34)&amp;", days_to_run=["&amp;H48&amp;"])",""),IF(ISNUMBER(A46),$BE$1,""))</f>
        <v>trade24 = setTimeStraddleIndexSL(index="NIFTY", start_date="2019-03-01", end_date="2022-06-30", entry_time="15:00:00", exit_time="15:24:00", stop_loss_p=0.001, historical_data_path="./n_historical_data/", number_of_lots=4, csv_out_file="NBN_NIFTY_15.00_Thu_0.1%.csv", days_to_run=[3])</v>
      </c>
      <c r="K48" s="15"/>
      <c r="P48" t="str">
        <f t="shared" si="5"/>
        <v>Thu</v>
      </c>
    </row>
    <row r="49" spans="1:16" x14ac:dyDescent="0.3">
      <c r="A49" s="3"/>
      <c r="B49" s="3"/>
      <c r="D49" s="12"/>
      <c r="E49" s="12"/>
      <c r="F49" s="12"/>
      <c r="G49" s="10"/>
      <c r="H49" s="11"/>
      <c r="I49" s="12"/>
      <c r="J49" s="7" t="str">
        <f>IF(ISNUMBER(A48),"trade"&amp;A48&amp;".runBackTest()","")</f>
        <v>trade24.runBackTest()</v>
      </c>
      <c r="K49" s="15"/>
      <c r="P49" t="str">
        <f t="shared" si="5"/>
        <v/>
      </c>
    </row>
    <row r="50" spans="1:16" x14ac:dyDescent="0.3">
      <c r="A50" t="str">
        <f>IF(ISNUMBER(G50),A48+1,"")</f>
        <v/>
      </c>
      <c r="B50" s="1" t="str">
        <f>IF(ISNUMBER(G50),B48,"")</f>
        <v/>
      </c>
      <c r="C50" s="1" t="str">
        <f>IF(ISNUMBER(G50),C48,"")</f>
        <v/>
      </c>
      <c r="D50" s="12"/>
      <c r="E50" s="12"/>
      <c r="F50" s="12"/>
      <c r="G50" s="10"/>
      <c r="H50" s="11"/>
      <c r="I50" s="12"/>
      <c r="J50" s="7" t="str">
        <f ca="1">IF(AND(ISNUMBER(A50),ISNUMBER(A48)),IF(ISNUMBER(A50),"trade"&amp;A50&amp;" = setTimeStraddleIndexSL(index="&amp;CHAR(34)&amp;D50&amp;CHAR(34)&amp;", start_date="&amp;CHAR(34)&amp;TEXT(B50,"YYYY-mm-DD")&amp;CHAR(34)&amp;", end_date="&amp;CHAR(34)&amp;TEXT(C50,"YYYY-mm-DD")&amp;CHAR(34)&amp;", entry_time="&amp;CHAR(34)&amp;TEXT(E50,"HH:MM:SS")&amp;CHAR(34)&amp;", exit_time="&amp;CHAR(34)&amp;TEXT(F50,"HH:MM:SS")&amp;CHAR(34)&amp;", stop_loss_p="&amp;G50&amp;", historical_data_path="&amp;CHAR(34)&amp;"./"&amp;IF(D50="BANKNIFTY","b","")&amp;"n_historical_data/"&amp;CHAR(34)&amp;", number_of_lots="&amp;I50&amp;", csv_out_file="&amp;CHAR(34)&amp;$L$8&amp;"_"&amp;D50&amp;"_"&amp;TEXT(E50,"HH.MM")&amp;"_"&amp;P50&amp;"_"&amp;ROUND(G50*100,2)&amp;"%.csv"&amp;CHAR(34)&amp;", days_to_run=["&amp;H50&amp;"])",""),IF(ISNUMBER(A48),$BE$1,""))</f>
        <v>consolidate_reports(csv_file_names=["NBN_BANKNIFTY_09.20_Mon_0.9%.csv","NBN_BANKNIFTY_09.20_Wed_0.7%.csv","NBN_BANKNIFTY_09.20_Thu_0.7%.csv","NBN_BANKNIFTY_09.30_Mon_0.9%.csv","NBN_BANKNIFTY_09.30_Wed_0.7%.csv","NBN_BANKNIFTY_09.30_Thu_0.7%.csv","NBN_BANKNIFTY_11.00_Mon_0.2%.csv","NBN_BANKNIFTY_11.00_Thu_0.2%.csv","NBN_BANKNIFTY_14.15_Mon_0.5%.csv","NBN_BANKNIFTY_14.15_Thu_0.5%.csv","NBN_BANKNIFTY_15.00_Mon_0.2%.csv","NBN_BANKNIFTY_15.00_Thu_0.2%.csv","NBN_NIFTY_09.30_Mon_0.5%.csv","NBN_NIFTY_09.30_Wed_0.4%.csv","NBN_NIFTY_09.30_Thu_0.4%.csv","NBN_NIFTY_12.30_Mon_0.5%.csv","NBN_NIFTY_12.30_Wed_0.4%.csv","NBN_NIFTY_12.30_Thu_0.4%.csv","NBN_NIFTY_11.00_Mon_0.1%.csv","NBN_NIFTY_11.00_Thu_0.1%.csv","NBN_NIFTY_14.15_Mon_0.3%.csv","NBN_NIFTY_14.15_Thu_0.2%.csv","NBN_NIFTY_15.00_Mon_0.1%.csv","NBN_NIFTY_15.00_Thu_0.1%.csv"], consolidated_report="consolidated.csv")</v>
      </c>
      <c r="K50" s="15"/>
      <c r="P50" t="str">
        <f t="shared" si="5"/>
        <v/>
      </c>
    </row>
    <row r="51" spans="1:16" x14ac:dyDescent="0.3">
      <c r="A51" s="3"/>
      <c r="B51" s="3"/>
      <c r="D51" s="12"/>
      <c r="E51" s="12"/>
      <c r="F51" s="12"/>
      <c r="G51" s="10"/>
      <c r="H51" s="11"/>
      <c r="I51" s="12"/>
      <c r="J51" s="7" t="str">
        <f>IF(ISNUMBER(A50),"trade"&amp;A50&amp;".runBackTest()","")</f>
        <v/>
      </c>
      <c r="K51" s="15"/>
      <c r="P51" t="str">
        <f t="shared" si="5"/>
        <v/>
      </c>
    </row>
    <row r="52" spans="1:16" x14ac:dyDescent="0.3">
      <c r="A52" t="str">
        <f>IF(ISNUMBER(G52),A50+1,"")</f>
        <v/>
      </c>
      <c r="B52" s="1" t="str">
        <f>IF(ISNUMBER(G52),B50,"")</f>
        <v/>
      </c>
      <c r="C52" s="1" t="str">
        <f>C50</f>
        <v/>
      </c>
      <c r="D52" s="12"/>
      <c r="E52" s="12"/>
      <c r="F52" s="12"/>
      <c r="G52" s="10"/>
      <c r="H52" s="11"/>
      <c r="I52" s="12"/>
      <c r="J52" s="7" t="str">
        <f>IF(AND(ISNUMBER(A52),ISNUMBER(A50)),IF(ISNUMBER(A52),"trade"&amp;A52&amp;" = setTimeStraddleIndexSL(index="&amp;CHAR(34)&amp;D52&amp;CHAR(34)&amp;", start_date="&amp;CHAR(34)&amp;TEXT(B52,"YYYY-mm-DD")&amp;CHAR(34)&amp;", end_date="&amp;CHAR(34)&amp;TEXT(C52,"YYYY-mm-DD")&amp;CHAR(34)&amp;", entry_time="&amp;CHAR(34)&amp;TEXT(E52,"HH:MM:SS")&amp;CHAR(34)&amp;", exit_time="&amp;CHAR(34)&amp;TEXT(F52,"HH:MM:SS")&amp;CHAR(34)&amp;", stop_loss_p="&amp;G52&amp;", historical_data_path="&amp;CHAR(34)&amp;"./"&amp;IF(D52="BANKNIFTY","b","")&amp;"n_historical_data/"&amp;CHAR(34)&amp;", number_of_lots="&amp;I52&amp;", csv_out_file="&amp;CHAR(34)&amp;$L$8&amp;"_"&amp;D52&amp;"_"&amp;TEXT(E52,"HH.MM")&amp;"_"&amp;P52&amp;"_"&amp;ROUND(G52*100,2)&amp;"%.csv"&amp;CHAR(34)&amp;", days_to_run=["&amp;H52&amp;"])",""),IF(ISNUMBER(A50),$BE$1,""))</f>
        <v/>
      </c>
      <c r="K52" s="15"/>
      <c r="P52" t="str">
        <f t="shared" si="5"/>
        <v/>
      </c>
    </row>
    <row r="53" spans="1:16" x14ac:dyDescent="0.3">
      <c r="A53" s="3"/>
      <c r="B53" s="3"/>
      <c r="D53" s="12"/>
      <c r="E53" s="12"/>
      <c r="F53" s="12"/>
      <c r="G53" s="10"/>
      <c r="H53" s="11"/>
      <c r="I53" s="12"/>
      <c r="J53" s="7" t="str">
        <f>IF(ISNUMBER(A52),"trade"&amp;A52&amp;".runBackTest()","")</f>
        <v/>
      </c>
      <c r="K53" s="15"/>
      <c r="P53" t="str">
        <f t="shared" si="5"/>
        <v/>
      </c>
    </row>
    <row r="54" spans="1:16" x14ac:dyDescent="0.3">
      <c r="A54" t="str">
        <f>IF(ISNUMBER(G54),A52+1,"")</f>
        <v/>
      </c>
      <c r="B54" s="1" t="str">
        <f>IF(ISNUMBER(G54),B52,"")</f>
        <v/>
      </c>
      <c r="C54" s="1" t="str">
        <f>C52</f>
        <v/>
      </c>
      <c r="D54" s="12"/>
      <c r="E54" s="12"/>
      <c r="F54" s="12"/>
      <c r="G54" s="10"/>
      <c r="H54" s="11"/>
      <c r="I54" s="12"/>
      <c r="J54" s="7" t="str">
        <f>IF(AND(ISNUMBER(A54),ISNUMBER(A52)),IF(ISNUMBER(A54),"trade"&amp;A54&amp;" = setTimeStraddleIndexSL(index="&amp;CHAR(34)&amp;D54&amp;CHAR(34)&amp;", start_date="&amp;CHAR(34)&amp;TEXT(B54,"YYYY-mm-DD")&amp;CHAR(34)&amp;", end_date="&amp;CHAR(34)&amp;TEXT(C54,"YYYY-mm-DD")&amp;CHAR(34)&amp;", entry_time="&amp;CHAR(34)&amp;TEXT(E54,"HH:MM:SS")&amp;CHAR(34)&amp;", exit_time="&amp;CHAR(34)&amp;TEXT(F54,"HH:MM:SS")&amp;CHAR(34)&amp;", stop_loss_p="&amp;G54&amp;", historical_data_path="&amp;CHAR(34)&amp;"./"&amp;IF(D54="BANKNIFTY","b","")&amp;"n_historical_data/"&amp;CHAR(34)&amp;", number_of_lots="&amp;I54&amp;", csv_out_file="&amp;CHAR(34)&amp;$L$8&amp;"_"&amp;D54&amp;"_"&amp;TEXT(E54,"HH.MM")&amp;"_"&amp;P54&amp;"_"&amp;ROUND(G54*100,2)&amp;"%.csv"&amp;CHAR(34)&amp;", days_to_run=["&amp;H54&amp;"])",""),IF(ISNUMBER(A52),$BE$1,""))</f>
        <v/>
      </c>
      <c r="K54" s="15"/>
      <c r="P54" t="str">
        <f t="shared" si="5"/>
        <v/>
      </c>
    </row>
    <row r="55" spans="1:16" x14ac:dyDescent="0.3">
      <c r="A55" s="3"/>
      <c r="B55" s="3"/>
      <c r="D55" s="12"/>
      <c r="E55" s="12"/>
      <c r="F55" s="12"/>
      <c r="G55" s="10"/>
      <c r="H55" s="11"/>
      <c r="I55" s="12"/>
      <c r="J55" s="7" t="str">
        <f>IF(ISNUMBER(A54),"trade"&amp;A54&amp;".runBackTest()","")</f>
        <v/>
      </c>
      <c r="K55" s="15"/>
      <c r="P55" t="str">
        <f t="shared" si="5"/>
        <v/>
      </c>
    </row>
    <row r="56" spans="1:16" x14ac:dyDescent="0.3">
      <c r="A56" t="str">
        <f>IF(ISNUMBER(G56),A54+1,"")</f>
        <v/>
      </c>
      <c r="B56" s="1" t="str">
        <f>IF(ISNUMBER(G56),B54,"")</f>
        <v/>
      </c>
      <c r="C56" s="1" t="str">
        <f>C54</f>
        <v/>
      </c>
      <c r="D56" s="12"/>
      <c r="E56" s="12"/>
      <c r="F56" s="12"/>
      <c r="G56" s="10"/>
      <c r="H56" s="11"/>
      <c r="I56" s="12"/>
      <c r="J56" s="7" t="str">
        <f>IF(AND(ISNUMBER(A56),ISNUMBER(A54)),IF(ISNUMBER(A56),"trade"&amp;A56&amp;" = setTimeStraddleIndexSL(index="&amp;CHAR(34)&amp;D56&amp;CHAR(34)&amp;", start_date="&amp;CHAR(34)&amp;TEXT(B56,"YYYY-mm-DD")&amp;CHAR(34)&amp;", end_date="&amp;CHAR(34)&amp;TEXT(C56,"YYYY-mm-DD")&amp;CHAR(34)&amp;", entry_time="&amp;CHAR(34)&amp;TEXT(E56,"HH:MM:SS")&amp;CHAR(34)&amp;", exit_time="&amp;CHAR(34)&amp;TEXT(F56,"HH:MM:SS")&amp;CHAR(34)&amp;", stop_loss_p="&amp;G56&amp;", historical_data_path="&amp;CHAR(34)&amp;"./"&amp;IF(D56="BANKNIFTY","b","")&amp;"n_historical_data/"&amp;CHAR(34)&amp;", number_of_lots="&amp;I56&amp;", csv_out_file="&amp;CHAR(34)&amp;$L$8&amp;"_"&amp;D56&amp;"_"&amp;TEXT(E56,"HH.MM")&amp;"_"&amp;P56&amp;"_"&amp;ROUND(G56*100,2)&amp;"%.csv"&amp;CHAR(34)&amp;", days_to_run=["&amp;H56&amp;"])",""),IF(ISNUMBER(A54),$BE$1,""))</f>
        <v/>
      </c>
      <c r="K56" s="15"/>
      <c r="P56" t="str">
        <f t="shared" si="5"/>
        <v/>
      </c>
    </row>
    <row r="57" spans="1:16" x14ac:dyDescent="0.3">
      <c r="A57" s="3"/>
      <c r="B57" s="3"/>
      <c r="D57" s="12"/>
      <c r="E57" s="12"/>
      <c r="F57" s="12"/>
      <c r="G57" s="10"/>
      <c r="H57" s="11"/>
      <c r="I57" s="12"/>
      <c r="J57" s="7" t="str">
        <f>IF(ISNUMBER(A56),"trade"&amp;A56&amp;".runBackTest()","")</f>
        <v/>
      </c>
      <c r="K57" s="15"/>
      <c r="P57" t="str">
        <f t="shared" si="5"/>
        <v/>
      </c>
    </row>
    <row r="58" spans="1:16" x14ac:dyDescent="0.3">
      <c r="A58" t="str">
        <f>IF(ISNUMBER(G58),A56+1,"")</f>
        <v/>
      </c>
      <c r="B58" s="1" t="str">
        <f>IF(ISNUMBER(G58),B56,"")</f>
        <v/>
      </c>
      <c r="C58" s="1" t="str">
        <f>C56</f>
        <v/>
      </c>
      <c r="D58" s="12"/>
      <c r="E58" s="12"/>
      <c r="F58" s="12"/>
      <c r="G58" s="10"/>
      <c r="H58" s="11"/>
      <c r="I58" s="12"/>
      <c r="J58" s="7" t="str">
        <f>IF(AND(ISNUMBER(A58),ISNUMBER(A56)),IF(ISNUMBER(A58),"trade"&amp;A58&amp;" = setTimeStraddleIndexSL(index="&amp;CHAR(34)&amp;D58&amp;CHAR(34)&amp;", start_date="&amp;CHAR(34)&amp;TEXT(B58,"YYYY-mm-DD")&amp;CHAR(34)&amp;", end_date="&amp;CHAR(34)&amp;TEXT(C58,"YYYY-mm-DD")&amp;CHAR(34)&amp;", entry_time="&amp;CHAR(34)&amp;TEXT(E58,"HH:MM:SS")&amp;CHAR(34)&amp;", exit_time="&amp;CHAR(34)&amp;TEXT(F58,"HH:MM:SS")&amp;CHAR(34)&amp;", stop_loss_p="&amp;G58&amp;", historical_data_path="&amp;CHAR(34)&amp;"./"&amp;IF(D58="BANKNIFTY","b","")&amp;"n_historical_data/"&amp;CHAR(34)&amp;", number_of_lots="&amp;I58&amp;", csv_out_file="&amp;CHAR(34)&amp;$L$8&amp;"_"&amp;D58&amp;"_"&amp;TEXT(E58,"HH.MM")&amp;"_"&amp;P58&amp;"_"&amp;ROUND(G58*100,2)&amp;"%.csv"&amp;CHAR(34)&amp;", days_to_run=["&amp;H58&amp;"])",""),IF(ISNUMBER(A56),$BE$1,""))</f>
        <v/>
      </c>
      <c r="K58" s="15"/>
      <c r="P58" t="str">
        <f t="shared" si="5"/>
        <v/>
      </c>
    </row>
    <row r="59" spans="1:16" x14ac:dyDescent="0.3">
      <c r="D59" s="12"/>
      <c r="E59" s="12"/>
      <c r="F59" s="12"/>
      <c r="G59" s="10"/>
      <c r="H59" s="11"/>
      <c r="I59" s="12"/>
      <c r="J59" s="7" t="str">
        <f>IF(ISNUMBER(A58),"trade"&amp;A58&amp;".runBackTest()","")</f>
        <v/>
      </c>
      <c r="K59" s="15"/>
      <c r="P59" t="str">
        <f t="shared" si="5"/>
        <v/>
      </c>
    </row>
    <row r="60" spans="1:16" x14ac:dyDescent="0.3">
      <c r="A60" t="str">
        <f>IF(ISNUMBER(G60),A58+1,"")</f>
        <v/>
      </c>
      <c r="B60" s="1" t="str">
        <f>IF(ISNUMBER(G60),B58,"")</f>
        <v/>
      </c>
      <c r="C60" s="1" t="str">
        <f>C58</f>
        <v/>
      </c>
      <c r="D60" s="12"/>
      <c r="E60" s="12"/>
      <c r="F60" s="12"/>
      <c r="G60" s="10"/>
      <c r="H60" s="11"/>
      <c r="I60" s="12"/>
      <c r="J60" s="7" t="str">
        <f>IF(AND(ISNUMBER(A60),ISNUMBER(A58)),IF(ISNUMBER(A60),"trade"&amp;A60&amp;" = setTimeStraddleIndexSL(index="&amp;CHAR(34)&amp;D60&amp;CHAR(34)&amp;", start_date="&amp;CHAR(34)&amp;TEXT(B60,"YYYY-mm-DD")&amp;CHAR(34)&amp;", end_date="&amp;CHAR(34)&amp;TEXT(C60,"YYYY-mm-DD")&amp;CHAR(34)&amp;", entry_time="&amp;CHAR(34)&amp;TEXT(E60,"HH:MM:SS")&amp;CHAR(34)&amp;", exit_time="&amp;CHAR(34)&amp;TEXT(F60,"HH:MM:SS")&amp;CHAR(34)&amp;", stop_loss_p="&amp;G60&amp;", historical_data_path="&amp;CHAR(34)&amp;"./"&amp;IF(D60="BANKNIFTY","b","")&amp;"n_historical_data/"&amp;CHAR(34)&amp;", number_of_lots="&amp;I60&amp;", csv_out_file="&amp;CHAR(34)&amp;$L$8&amp;"_"&amp;D60&amp;"_"&amp;TEXT(E60,"HH.MM")&amp;"_"&amp;P60&amp;"_"&amp;ROUND(G60*100,2)&amp;"%.csv"&amp;CHAR(34)&amp;", days_to_run=["&amp;H60&amp;"])",""),IF(ISNUMBER(A58),$BE$1,""))</f>
        <v/>
      </c>
      <c r="K60" s="15"/>
      <c r="P60" t="str">
        <f t="shared" si="5"/>
        <v/>
      </c>
    </row>
    <row r="61" spans="1:16" x14ac:dyDescent="0.3">
      <c r="B61" s="3"/>
      <c r="D61" s="12"/>
      <c r="E61" s="12"/>
      <c r="F61" s="12"/>
      <c r="G61" s="10"/>
      <c r="H61" s="11"/>
      <c r="I61" s="12"/>
      <c r="J61" s="7" t="str">
        <f>IF(ISNUMBER(A60),"trade"&amp;A60&amp;".runBackTest()","")</f>
        <v/>
      </c>
      <c r="K61" s="15"/>
      <c r="P61" t="str">
        <f t="shared" si="5"/>
        <v/>
      </c>
    </row>
    <row r="62" spans="1:16" x14ac:dyDescent="0.3">
      <c r="A62" t="str">
        <f>IF(ISNUMBER(G62),A60+1,"")</f>
        <v/>
      </c>
      <c r="B62" s="1" t="str">
        <f>IF(ISNUMBER(G62),B60,"")</f>
        <v/>
      </c>
      <c r="C62" s="1" t="str">
        <f>C60</f>
        <v/>
      </c>
      <c r="D62" s="12"/>
      <c r="E62" s="12"/>
      <c r="F62" s="12"/>
      <c r="G62" s="10"/>
      <c r="H62" s="11"/>
      <c r="I62" s="12"/>
      <c r="J62" s="7" t="str">
        <f>IF(AND(ISNUMBER(A62),ISNUMBER(A60)),IF(ISNUMBER(A62),"trade"&amp;A62&amp;" = setTimeStraddleIndexSL(index="&amp;CHAR(34)&amp;D62&amp;CHAR(34)&amp;", start_date="&amp;CHAR(34)&amp;TEXT(B62,"YYYY-mm-DD")&amp;CHAR(34)&amp;", end_date="&amp;CHAR(34)&amp;TEXT(C62,"YYYY-mm-DD")&amp;CHAR(34)&amp;", entry_time="&amp;CHAR(34)&amp;TEXT(E62,"HH:MM:SS")&amp;CHAR(34)&amp;", exit_time="&amp;CHAR(34)&amp;TEXT(F62,"HH:MM:SS")&amp;CHAR(34)&amp;", stop_loss_p="&amp;G62&amp;", historical_data_path="&amp;CHAR(34)&amp;"./"&amp;IF(D62="BANKNIFTY","b","")&amp;"n_historical_data/"&amp;CHAR(34)&amp;", number_of_lots="&amp;I62&amp;", csv_out_file="&amp;CHAR(34)&amp;$L$8&amp;"_"&amp;D62&amp;"_"&amp;TEXT(E62,"HH.MM")&amp;"_"&amp;P62&amp;"_"&amp;ROUND(G62*100,2)&amp;"%.csv"&amp;CHAR(34)&amp;", days_to_run=["&amp;H62&amp;"])",""),IF(ISNUMBER(A60),$BE$1,""))</f>
        <v/>
      </c>
      <c r="K62" s="15"/>
      <c r="P62" t="str">
        <f t="shared" si="5"/>
        <v/>
      </c>
    </row>
    <row r="63" spans="1:16" x14ac:dyDescent="0.3">
      <c r="B63" s="3"/>
      <c r="D63" s="12"/>
      <c r="E63" s="12"/>
      <c r="F63" s="12"/>
      <c r="G63" s="10"/>
      <c r="H63" s="11"/>
      <c r="I63" s="12"/>
      <c r="J63" s="7" t="str">
        <f>IF(ISNUMBER(A62),"trade"&amp;A62&amp;".runBackTest()","")</f>
        <v/>
      </c>
      <c r="K63" s="15"/>
      <c r="P63" t="str">
        <f t="shared" si="5"/>
        <v/>
      </c>
    </row>
    <row r="64" spans="1:16" x14ac:dyDescent="0.3">
      <c r="A64" t="str">
        <f>IF(ISNUMBER(G64),A62+1,"")</f>
        <v/>
      </c>
      <c r="B64" s="1" t="str">
        <f>IF(ISNUMBER(G64),B62,"")</f>
        <v/>
      </c>
      <c r="C64" s="1" t="str">
        <f>C62</f>
        <v/>
      </c>
      <c r="D64" s="12"/>
      <c r="E64" s="12"/>
      <c r="F64" s="12"/>
      <c r="G64" s="10"/>
      <c r="H64" s="11"/>
      <c r="I64" s="12"/>
      <c r="J64" s="7" t="str">
        <f>IF(AND(ISNUMBER(A64),ISNUMBER(A62)),IF(ISNUMBER(A64),"trade"&amp;A64&amp;" = setTimeStraddleIndexSL(index="&amp;CHAR(34)&amp;D64&amp;CHAR(34)&amp;", start_date="&amp;CHAR(34)&amp;TEXT(B64,"YYYY-mm-DD")&amp;CHAR(34)&amp;", end_date="&amp;CHAR(34)&amp;TEXT(C64,"YYYY-mm-DD")&amp;CHAR(34)&amp;", entry_time="&amp;CHAR(34)&amp;TEXT(E64,"HH:MM:SS")&amp;CHAR(34)&amp;", exit_time="&amp;CHAR(34)&amp;TEXT(F64,"HH:MM:SS")&amp;CHAR(34)&amp;", stop_loss_p="&amp;G64&amp;", historical_data_path="&amp;CHAR(34)&amp;"./"&amp;IF(D64="BANKNIFTY","b","")&amp;"n_historical_data/"&amp;CHAR(34)&amp;", number_of_lots="&amp;I64&amp;", csv_out_file="&amp;CHAR(34)&amp;$L$8&amp;"_"&amp;D64&amp;"_"&amp;TEXT(E64,"HH.MM")&amp;"_"&amp;P64&amp;"_"&amp;ROUND(G64*100,2)&amp;"%.csv"&amp;CHAR(34)&amp;", days_to_run=["&amp;H64&amp;"])",""),IF(ISNUMBER(A62),$BE$1,""))</f>
        <v/>
      </c>
      <c r="K64" s="15"/>
      <c r="P64" t="str">
        <f t="shared" si="5"/>
        <v/>
      </c>
    </row>
    <row r="65" spans="1:16" x14ac:dyDescent="0.3">
      <c r="A65" s="3"/>
      <c r="B65" s="3"/>
      <c r="D65" s="12"/>
      <c r="E65" s="12"/>
      <c r="F65" s="12"/>
      <c r="G65" s="10"/>
      <c r="H65" s="11"/>
      <c r="I65" s="12"/>
      <c r="J65" s="7" t="str">
        <f>IF(ISNUMBER(A64),"trade"&amp;A64&amp;".runBackTest()","")</f>
        <v/>
      </c>
      <c r="K65" s="15"/>
      <c r="P65" t="str">
        <f t="shared" si="5"/>
        <v/>
      </c>
    </row>
    <row r="66" spans="1:16" x14ac:dyDescent="0.3">
      <c r="A66" t="str">
        <f>IF(ISNUMBER(G66),A64+1,"")</f>
        <v/>
      </c>
      <c r="B66" s="1" t="str">
        <f>IF(ISNUMBER(G66),B64,"")</f>
        <v/>
      </c>
      <c r="C66" s="1" t="str">
        <f>C64</f>
        <v/>
      </c>
      <c r="D66" s="12"/>
      <c r="E66" s="12"/>
      <c r="F66" s="12"/>
      <c r="G66" s="10"/>
      <c r="H66" s="11"/>
      <c r="I66" s="12"/>
      <c r="J66" s="7" t="str">
        <f>IF(AND(ISNUMBER(A66),ISNUMBER(A64)),IF(ISNUMBER(A66),"trade"&amp;A66&amp;" = setTimeStraddleIndexSL(index="&amp;CHAR(34)&amp;D66&amp;CHAR(34)&amp;", start_date="&amp;CHAR(34)&amp;TEXT(B66,"YYYY-mm-DD")&amp;CHAR(34)&amp;", end_date="&amp;CHAR(34)&amp;TEXT(C66,"YYYY-mm-DD")&amp;CHAR(34)&amp;", entry_time="&amp;CHAR(34)&amp;TEXT(E66,"HH:MM:SS")&amp;CHAR(34)&amp;", exit_time="&amp;CHAR(34)&amp;TEXT(F66,"HH:MM:SS")&amp;CHAR(34)&amp;", stop_loss_p="&amp;G66&amp;", historical_data_path="&amp;CHAR(34)&amp;"./"&amp;IF(D66="BANKNIFTY","b","")&amp;"n_historical_data/"&amp;CHAR(34)&amp;", number_of_lots="&amp;I66&amp;", csv_out_file="&amp;CHAR(34)&amp;$L$8&amp;"_"&amp;D66&amp;"_"&amp;TEXT(E66,"HH.MM")&amp;"_"&amp;P66&amp;"_"&amp;ROUND(G66*100,2)&amp;"%.csv"&amp;CHAR(34)&amp;", days_to_run=["&amp;H66&amp;"])",""),IF(ISNUMBER(A64),$BE$1,""))</f>
        <v/>
      </c>
      <c r="K66" s="15"/>
      <c r="P66" t="str">
        <f t="shared" si="5"/>
        <v/>
      </c>
    </row>
    <row r="67" spans="1:16" x14ac:dyDescent="0.3">
      <c r="A67" s="3"/>
      <c r="D67" s="12"/>
      <c r="E67" s="12"/>
      <c r="F67" s="12"/>
      <c r="G67" s="10"/>
      <c r="H67" s="11"/>
      <c r="I67" s="12"/>
      <c r="J67" s="7" t="str">
        <f>IF(ISNUMBER(A66),"trade"&amp;A66&amp;".runBackTest()","")</f>
        <v/>
      </c>
      <c r="K67" s="15"/>
      <c r="P67" t="str">
        <f t="shared" ref="P67:P70" si="6">IFERROR(TEXT(LEFT(SUBSTITUTE(H67,",",""),1)+2,"DDD"),"")</f>
        <v/>
      </c>
    </row>
    <row r="68" spans="1:16" x14ac:dyDescent="0.3">
      <c r="A68" t="str">
        <f>IF(ISNUMBER(G68),A66+1,"")</f>
        <v/>
      </c>
      <c r="B68" s="1" t="str">
        <f>IF(ISNUMBER(G68),B66,"")</f>
        <v/>
      </c>
      <c r="C68" s="1" t="str">
        <f>C66</f>
        <v/>
      </c>
      <c r="D68" s="12"/>
      <c r="E68" s="12"/>
      <c r="F68" s="12"/>
      <c r="G68" s="10"/>
      <c r="H68" s="11"/>
      <c r="I68" s="12"/>
      <c r="J68" s="7" t="str">
        <f>IF(AND(ISNUMBER(A68),ISNUMBER(A66)),IF(ISNUMBER(A68),"trade"&amp;A68&amp;" = setTimeStraddleIndexSL(index="&amp;CHAR(34)&amp;D68&amp;CHAR(34)&amp;", start_date="&amp;CHAR(34)&amp;TEXT(B68,"YYYY-mm-DD")&amp;CHAR(34)&amp;", end_date="&amp;CHAR(34)&amp;TEXT(C68,"YYYY-mm-DD")&amp;CHAR(34)&amp;", entry_time="&amp;CHAR(34)&amp;TEXT(E68,"HH:MM:SS")&amp;CHAR(34)&amp;", exit_time="&amp;CHAR(34)&amp;TEXT(F68,"HH:MM:SS")&amp;CHAR(34)&amp;", stop_loss_p="&amp;G68&amp;", historical_data_path="&amp;CHAR(34)&amp;"./"&amp;IF(D68="BANKNIFTY","b","")&amp;"n_historical_data/"&amp;CHAR(34)&amp;", number_of_lots="&amp;I68&amp;", csv_out_file="&amp;CHAR(34)&amp;$L$8&amp;"_"&amp;D68&amp;"_"&amp;TEXT(E68,"HH.MM")&amp;"_"&amp;P68&amp;"_"&amp;ROUND(G68*100,2)&amp;"%.csv"&amp;CHAR(34)&amp;", days_to_run=["&amp;H68&amp;"])",""),IF(ISNUMBER(A66),$BE$1,""))</f>
        <v/>
      </c>
      <c r="K68" s="15"/>
      <c r="P68" t="str">
        <f t="shared" si="6"/>
        <v/>
      </c>
    </row>
    <row r="69" spans="1:16" x14ac:dyDescent="0.3">
      <c r="A69" s="3"/>
      <c r="D69" s="12"/>
      <c r="E69" s="12"/>
      <c r="F69" s="12"/>
      <c r="G69" s="10"/>
      <c r="H69" s="11"/>
      <c r="I69" s="12"/>
      <c r="J69" s="7" t="str">
        <f>IF(ISNUMBER(A68),"trade"&amp;A68&amp;".runBackTest()","")</f>
        <v/>
      </c>
      <c r="K69" s="15"/>
      <c r="P69" t="str">
        <f t="shared" si="6"/>
        <v/>
      </c>
    </row>
    <row r="70" spans="1:16" x14ac:dyDescent="0.3">
      <c r="A70" t="str">
        <f>IF(ISNUMBER(G70),A68+1,"")</f>
        <v/>
      </c>
      <c r="B70" s="1" t="str">
        <f>IF(ISNUMBER(G70),B68,"")</f>
        <v/>
      </c>
      <c r="C70" s="1" t="str">
        <f>C68</f>
        <v/>
      </c>
      <c r="D70" s="12"/>
      <c r="E70" s="12"/>
      <c r="F70" s="12"/>
      <c r="G70" s="10"/>
      <c r="H70" s="11"/>
      <c r="I70" s="12"/>
      <c r="J70" s="7" t="str">
        <f>IF(AND(ISNUMBER(A70),ISNUMBER(A68)),IF(ISNUMBER(A70),"trade"&amp;A70&amp;" = setTimeStraddleIndexSL(index="&amp;CHAR(34)&amp;D70&amp;CHAR(34)&amp;", start_date="&amp;CHAR(34)&amp;TEXT(B70,"YYYY-mm-DD")&amp;CHAR(34)&amp;", end_date="&amp;CHAR(34)&amp;TEXT(C70,"YYYY-mm-DD")&amp;CHAR(34)&amp;", entry_time="&amp;CHAR(34)&amp;TEXT(E70,"HH:MM:SS")&amp;CHAR(34)&amp;", exit_time="&amp;CHAR(34)&amp;TEXT(F70,"HH:MM:SS")&amp;CHAR(34)&amp;", stop_loss_p="&amp;G70&amp;", historical_data_path="&amp;CHAR(34)&amp;"./"&amp;IF(D70="BANKNIFTY","b","")&amp;"n_historical_data/"&amp;CHAR(34)&amp;", number_of_lots="&amp;I70&amp;", csv_out_file="&amp;CHAR(34)&amp;$L$8&amp;"_"&amp;D70&amp;"_"&amp;TEXT(E70,"HH.MM")&amp;"_"&amp;P70&amp;"_"&amp;ROUND(G70*100,2)&amp;"%.csv"&amp;CHAR(34)&amp;", days_to_run=["&amp;H70&amp;"])",""),IF(ISNUMBER(A68),$BE$1,""))</f>
        <v/>
      </c>
      <c r="K70" s="15"/>
      <c r="P70" t="str">
        <f t="shared" si="6"/>
        <v/>
      </c>
    </row>
    <row r="71" spans="1:16" x14ac:dyDescent="0.3">
      <c r="A71" s="3"/>
    </row>
    <row r="72" spans="1:16" x14ac:dyDescent="0.3">
      <c r="B72" s="1"/>
      <c r="C72" s="1"/>
    </row>
    <row r="73" spans="1:16" x14ac:dyDescent="0.3">
      <c r="A73" s="3"/>
    </row>
    <row r="74" spans="1:16" x14ac:dyDescent="0.3">
      <c r="B74" s="1"/>
      <c r="C74" s="1"/>
    </row>
    <row r="75" spans="1:16" x14ac:dyDescent="0.3">
      <c r="A75" s="3"/>
    </row>
    <row r="77" spans="1:16" x14ac:dyDescent="0.3">
      <c r="A77" s="3"/>
    </row>
  </sheetData>
  <mergeCells count="3">
    <mergeCell ref="K1:K70"/>
    <mergeCell ref="L7:N7"/>
    <mergeCell ref="L8:N8"/>
  </mergeCells>
  <phoneticPr fontId="2" type="noConversion"/>
  <pageMargins left="0.7" right="0.7" top="0.75" bottom="0.75" header="0.3" footer="0.3"/>
  <pageSetup orientation="portrait" r:id="rId1"/>
  <ignoredErrors>
    <ignoredError sqref="J5 J7 J9 J11 J13 J15 J17 J19 J21 J23 J25 J27 J29 J31 J33 J35 J37 J39 J41 J43 J45 J47 J49 J51 J53 J55 J57 J59 J61 J63 J65 J67 J69" formula="1"/>
  </ignoredError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EA153-43C6-4A17-9620-6D5E488663DB}">
  <sheetPr codeName="Sheet2"/>
  <dimension ref="A1"/>
  <sheetViews>
    <sheetView workbookViewId="0"/>
  </sheetViews>
  <sheetFormatPr defaultRowHeight="14.4" x14ac:dyDescent="0.3"/>
  <sheetData>
    <row r="1" spans="1:1" x14ac:dyDescent="0.3">
      <c r="A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himanshu shekhar</dc:creator>
  <cp:lastModifiedBy>himanshu shekhar</cp:lastModifiedBy>
  <dcterms:created xsi:type="dcterms:W3CDTF">2022-07-28T18:55:31Z</dcterms:created>
  <dcterms:modified xsi:type="dcterms:W3CDTF">2022-07-29T15:29:24Z</dcterms:modified>
</cp:coreProperties>
</file>